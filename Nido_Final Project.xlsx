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b6483caa0d97a4ee/Documents/Excel - SQL - Power Bi/"/>
    </mc:Choice>
  </mc:AlternateContent>
  <xr:revisionPtr revIDLastSave="1" documentId="11_909CE029FEACFC48030718B6D173DC75857D05D2" xr6:coauthVersionLast="47" xr6:coauthVersionMax="47" xr10:uidLastSave="{8A94B69C-13F1-43ED-94DD-88F1C0409CC8}"/>
  <bookViews>
    <workbookView xWindow="-120" yWindow="-120" windowWidth="20730" windowHeight="110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3"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<sst xmlns="http://schemas.openxmlformats.org/spreadsheetml/2006/main" count="16274" uniqueCount="51">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</sst>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quot;$&quot;#,##0.00"/>
    <numFmt numFmtId="166" formatCode="_(&quot;$&quot;* #,##0_);_(&quot;$&quot;* \(#,##0\);_(&quot;$&quot;* &quot;-&quot;??_);_(@_)"/>
    <numFmt numFmtId="167"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8">
    <xf numFmtId="0" fontId="0" fillId="0" borderId="0" xfId="0"/>
    <xf numFmtId="165" fontId="0" fillId="0" borderId="0" xfId="0" applyNumberFormat="1"/>
    <xf numFmtId="0" fontId="18" fillId="0" borderId="0" xfId="0" applyFont="1"/>
    <xf numFmtId="166" fontId="0" fillId="0" borderId="0" xfId="42" applyNumberFormat="1" applyFont="1"/>
    <xf numFmtId="0" fontId="0" fillId="0" borderId="0" xfId="0" pivotButton="1"/>
    <xf numFmtId="0" fontId="0" fillId="0" borderId="0" xfId="0" applyAlignment="1">
      <alignment horizontal="left"/>
    </xf>
    <xf numFmtId="167" fontId="0" fillId="0" borderId="0" xfId="0" applyNumberFormat="1"/>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[Nido_Final Project-Excel.xlsx]Pivot Table!PivotTable1</c:name>
    <c:fmtId val="0"/>
  </c:pivotSource>
  <c:chart>
    <c:title>
      <c:tx>
        <c:rich>
          <a:bodyPr/>
          <a:lstStyle/>
          <a:p>
            <a:pPr>
              <a:defRPr/>
            </a:pPr>
            <a:r>
              <a:rPr lang="en-US"/>
              <a:t>Avg Income</a:t>
            </a:r>
            <a:r>
              <a:rPr lang="en-US" baseline="0"/>
              <a:t> Per Purchase</a:t>
            </a:r>
            <a:endParaRPr lang="en-US"/>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095B-4A34-BF1B-2DBBBFEF9DD0}"/>
            </c:ext>
          </c:extLst>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095B-4A34-BF1B-2DBBBFEF9DD0}"/>
            </c:ext>
          </c:extLst>
        </c:ser>
        <c:dLbls>
          <c:showLegendKey val="0"/>
          <c:showVal val="0"/>
          <c:showCatName val="0"/>
          <c:showSerName val="0"/>
          <c:showPercent val="0"/>
          <c:showBubbleSize val="0"/>
        </c:dLbls>
        <c:gapWidth val="150"/>
        <c:axId val="246260480"/>
        <c:axId val="246262016"/>
      </c:barChart>
      <c:catAx>
        <c:axId val="246260480"/>
        <c:scaling>
          <c:orientation val="minMax"/>
        </c:scaling>
        <c:delete val="0"/>
        <c:axPos val="b"/>
        <c:title>
          <c:tx>
            <c:rich>
              <a:bodyPr/>
              <a:lstStyle/>
              <a:p>
                <a:pPr>
                  <a:defRPr/>
                </a:pPr>
                <a:r>
                  <a:rPr lang="en-US"/>
                  <a:t>Gender</a:t>
                </a:r>
              </a:p>
            </c:rich>
          </c:tx>
          <c:overlay val="0"/>
        </c:title>
        <c:numFmt formatCode="General" sourceLinked="0"/>
        <c:majorTickMark val="out"/>
        <c:minorTickMark val="none"/>
        <c:tickLblPos val="nextTo"/>
        <c:crossAx val="246262016"/>
        <c:crosses val="autoZero"/>
        <c:auto val="1"/>
        <c:lblAlgn val="ctr"/>
        <c:lblOffset val="100"/>
        <c:noMultiLvlLbl val="0"/>
      </c:catAx>
      <c:valAx>
        <c:axId val="246262016"/>
        <c:scaling>
          <c:orientation val="minMax"/>
        </c:scaling>
        <c:delete val="0"/>
        <c:axPos val="l"/>
        <c:majorGridlines/>
        <c:title>
          <c:tx>
            <c:rich>
              <a:bodyPr rot="-5400000" vert="horz"/>
              <a:lstStyle/>
              <a:p>
                <a:pPr>
                  <a:defRPr/>
                </a:pPr>
                <a:r>
                  <a:rPr lang="en-US"/>
                  <a:t>Income</a:t>
                </a:r>
              </a:p>
            </c:rich>
          </c:tx>
          <c:overlay val="0"/>
        </c:title>
        <c:numFmt formatCode="_(* #,##0_);_(* \(#,##0\);_(* &quot;-&quot;??_);_(@_)" sourceLinked="1"/>
        <c:majorTickMark val="out"/>
        <c:minorTickMark val="none"/>
        <c:tickLblPos val="nextTo"/>
        <c:crossAx val="246260480"/>
        <c:crosses val="autoZero"/>
        <c:crossBetween val="between"/>
      </c:valAx>
      <c:dTable>
        <c:showHorzBorder val="1"/>
        <c:showVertBorder val="1"/>
        <c:showOutline val="1"/>
        <c:showKeys val="1"/>
      </c:dTable>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[Nido_Final Project-Excel.xlsx]Pivot Table!PivotTable2</c:name>
    <c:fmtId val="0"/>
  </c:pivotSource>
  <c:chart>
    <c:title>
      <c:tx>
        <c:rich>
          <a:bodyPr/>
          <a:lstStyle/>
          <a:p>
            <a:pPr>
              <a:defRPr/>
            </a:pPr>
            <a:r>
              <a:rPr lang="en-US"/>
              <a:t>Customer</a:t>
            </a:r>
            <a:r>
              <a:rPr lang="en-US" baseline="0"/>
              <a:t> Commute</a:t>
            </a:r>
            <a:endParaRPr lang="en-US"/>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7CD-4211-8639-D3540B1B9956}"/>
            </c:ext>
          </c:extLst>
        </c:ser>
        <c:ser>
          <c:idx val="1"/>
          <c:order val="1"/>
          <c:tx>
            <c:strRef>
              <c:f>'Pivot Table'!$C$22:$C$23</c:f>
              <c:strCache>
                <c:ptCount val="1"/>
                <c:pt idx="0">
                  <c:v>Yes</c:v>
                </c:pt>
              </c:strCache>
            </c:strRef>
          </c:tx>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7CD-4211-8639-D3540B1B9956}"/>
            </c:ext>
          </c:extLst>
        </c:ser>
        <c:dLbls>
          <c:showLegendKey val="0"/>
          <c:showVal val="0"/>
          <c:showCatName val="0"/>
          <c:showSerName val="0"/>
          <c:showPercent val="0"/>
          <c:showBubbleSize val="0"/>
        </c:dLbls>
        <c:smooth val="0"/>
        <c:axId val="255649664"/>
        <c:axId val="255651200"/>
      </c:lineChart>
      <c:catAx>
        <c:axId val="255649664"/>
        <c:scaling>
          <c:orientation val="minMax"/>
        </c:scaling>
        <c:delete val="0"/>
        <c:axPos val="b"/>
        <c:title>
          <c:tx>
            <c:rich>
              <a:bodyPr/>
              <a:lstStyle/>
              <a:p>
                <a:pPr>
                  <a:defRPr/>
                </a:pPr>
                <a:r>
                  <a:rPr lang="en-US"/>
                  <a:t>Commute Distance</a:t>
                </a:r>
              </a:p>
            </c:rich>
          </c:tx>
          <c:overlay val="0"/>
        </c:title>
        <c:numFmt formatCode="General" sourceLinked="0"/>
        <c:majorTickMark val="out"/>
        <c:minorTickMark val="none"/>
        <c:tickLblPos val="nextTo"/>
        <c:crossAx val="255651200"/>
        <c:crosses val="autoZero"/>
        <c:auto val="1"/>
        <c:lblAlgn val="ctr"/>
        <c:lblOffset val="100"/>
        <c:noMultiLvlLbl val="0"/>
      </c:catAx>
      <c:valAx>
        <c:axId val="255651200"/>
        <c:scaling>
          <c:orientation val="minMax"/>
        </c:scaling>
        <c:delete val="0"/>
        <c:axPos val="l"/>
        <c:majorGridlines/>
        <c:numFmt formatCode="General" sourceLinked="1"/>
        <c:majorTickMark val="out"/>
        <c:minorTickMark val="none"/>
        <c:tickLblPos val="nextTo"/>
        <c:crossAx val="25564966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[Nido_Final Project-Excel.xlsx]Pivot Table!PivotTable3</c:name>
    <c:fmtId val="0"/>
  </c:pivotSource>
  <c:chart>
    <c:title>
      <c:tx>
        <c:rich>
          <a:bodyPr/>
          <a:lstStyle/>
          <a:p>
            <a:pPr>
              <a:defRPr/>
            </a:pPr>
            <a:r>
              <a:rPr lang="en-US"/>
              <a:t>Customer Age Bracket</a:t>
            </a:r>
          </a:p>
        </c:rich>
      </c:tx>
      <c:overlay val="0"/>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631-4142-9A2C-4A97774C3F9E}"/>
            </c:ext>
          </c:extLst>
        </c:ser>
        <c:ser>
          <c:idx val="1"/>
          <c:order val="1"/>
          <c:tx>
            <c:strRef>
              <c:f>'Pivot Table'!$C$38:$C$39</c:f>
              <c:strCache>
                <c:ptCount val="1"/>
                <c:pt idx="0">
                  <c:v>Yes</c:v>
                </c:pt>
              </c:strCache>
            </c:strRef>
          </c:tx>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631-4142-9A2C-4A97774C3F9E}"/>
            </c:ext>
          </c:extLst>
        </c:ser>
        <c:dLbls>
          <c:showLegendKey val="0"/>
          <c:showVal val="0"/>
          <c:showCatName val="0"/>
          <c:showSerName val="0"/>
          <c:showPercent val="0"/>
          <c:showBubbleSize val="0"/>
        </c:dLbls>
        <c:marker val="1"/>
        <c:smooth val="0"/>
        <c:axId val="280767488"/>
        <c:axId val="280769280"/>
      </c:lineChart>
      <c:catAx>
        <c:axId val="280767488"/>
        <c:scaling>
          <c:orientation val="minMax"/>
        </c:scaling>
        <c:delete val="0"/>
        <c:axPos val="b"/>
        <c:title>
          <c:tx>
            <c:rich>
              <a:bodyPr/>
              <a:lstStyle/>
              <a:p>
                <a:pPr>
                  <a:defRPr/>
                </a:pPr>
                <a:r>
                  <a:rPr lang="en-US"/>
                  <a:t>Age Bracket</a:t>
                </a:r>
              </a:p>
            </c:rich>
          </c:tx>
          <c:overlay val="0"/>
        </c:title>
        <c:numFmt formatCode="General" sourceLinked="0"/>
        <c:majorTickMark val="out"/>
        <c:minorTickMark val="none"/>
        <c:tickLblPos val="nextTo"/>
        <c:crossAx val="280769280"/>
        <c:crosses val="autoZero"/>
        <c:auto val="1"/>
        <c:lblAlgn val="ctr"/>
        <c:lblOffset val="100"/>
        <c:noMultiLvlLbl val="0"/>
      </c:catAx>
      <c:valAx>
        <c:axId val="280769280"/>
        <c:scaling>
          <c:orientation val="minMax"/>
        </c:scaling>
        <c:delete val="0"/>
        <c:axPos val="l"/>
        <c:majorGridlines/>
        <c:numFmt formatCode="General" sourceLinked="1"/>
        <c:majorTickMark val="out"/>
        <c:minorTickMark val="none"/>
        <c:tickLblPos val="nextTo"/>
        <c:crossAx val="280767488"/>
        <c:crosses val="autoZero"/>
        <c:crossBetween val="between"/>
      </c:valAx>
    </c:plotArea>
    <c:legend>
      <c:legendPos val="r"/>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[Nido_Final Project-Excel.xlsx]Pivot Table!PivotTable4</c:name>
    <c:fmtId val="1"/>
  </c:pivotSource>
  <c:chart>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320F-4172-BB31-AE8ABA934FC8}"/>
            </c:ext>
          </c:extLst>
        </c:ser>
        <c:ser>
          <c:idx val="1"/>
          <c:order val="1"/>
          <c:tx>
            <c:strRef>
              <c:f>'Pivot Table'!$C$58:$C$59</c:f>
              <c:strCache>
                <c:ptCount val="1"/>
                <c:pt idx="0">
                  <c:v>Yes</c:v>
                </c:pt>
              </c:strCache>
            </c:strRef>
          </c:tx>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20F-4172-BB31-AE8ABA934FC8}"/>
            </c:ext>
          </c:extLst>
        </c:ser>
        <c:dLbls>
          <c:showLegendKey val="0"/>
          <c:showVal val="0"/>
          <c:showCatName val="0"/>
          <c:showSerName val="0"/>
          <c:showPercent val="0"/>
          <c:showBubbleSize val="0"/>
        </c:dLbls>
        <c:marker val="1"/>
        <c:smooth val="0"/>
        <c:axId val="281107840"/>
        <c:axId val="281253376"/>
      </c:lineChart>
      <c:catAx>
        <c:axId val="281107840"/>
        <c:scaling>
          <c:orientation val="minMax"/>
        </c:scaling>
        <c:delete val="0"/>
        <c:axPos val="b"/>
        <c:numFmt formatCode="General" sourceLinked="0"/>
        <c:majorTickMark val="out"/>
        <c:minorTickMark val="none"/>
        <c:tickLblPos val="nextTo"/>
        <c:crossAx val="281253376"/>
        <c:crosses val="autoZero"/>
        <c:auto val="1"/>
        <c:lblAlgn val="ctr"/>
        <c:lblOffset val="100"/>
        <c:noMultiLvlLbl val="0"/>
      </c:catAx>
      <c:valAx>
        <c:axId val="281253376"/>
        <c:scaling>
          <c:orientation val="minMax"/>
        </c:scaling>
        <c:delete val="0"/>
        <c:axPos val="l"/>
        <c:majorGridlines/>
        <c:numFmt formatCode="General" sourceLinked="1"/>
        <c:majorTickMark val="out"/>
        <c:minorTickMark val="none"/>
        <c:tickLblPos val="nextTo"/>
        <c:crossAx val="28110784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[Nido_Final Project-Excel.xlsx]Pivot Table!PivotTable1</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Avg Income Per Purchase</a:t>
            </a:r>
          </a:p>
        </c:rich>
      </c:tx>
      <c:layout>
        <c:manualLayout>
          <c:xMode val="edge"/>
          <c:yMode val="edge"/>
          <c:x val="0.11236241802372142"/>
          <c:y val="0.1200685386472278"/>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pivotFmt>
      <c:pivotFmt>
        <c:idx val="3"/>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D634-4273-B235-585645BE5348}"/>
            </c:ext>
          </c:extLst>
        </c:ser>
        <c:ser>
          <c:idx val="1"/>
          <c:order val="1"/>
          <c:tx>
            <c:strRef>
              <c:f>'Pivot Table'!$C$3:$C$4</c:f>
              <c:strCache>
                <c:ptCount val="1"/>
                <c:pt idx="0">
                  <c:v>Yes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634-4273-B235-585645BE5348}"/>
            </c:ext>
          </c:extLst>
        </c:ser>
        <c:dLbls>
          <c:showLegendKey val="0"/>
          <c:showVal val="0"/>
          <c:showCatName val="0"/>
          <c:showSerName val="0"/>
          <c:showPercent val="0"/>
          <c:showBubbleSize val="0"/>
        </c:dLbls>
        <c:gapWidth val="164"/>
        <c:overlap val="-22"/>
        <c:axId val="290065792"/>
        <c:axId val="290138368"/>
      </c:barChart>
      <c:catAx>
        <c:axId val="290065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138368"/>
        <c:crosses val="autoZero"/>
        <c:auto val="1"/>
        <c:lblAlgn val="ctr"/>
        <c:lblOffset val="100"/>
        <c:noMultiLvlLbl val="0"/>
      </c:catAx>
      <c:valAx>
        <c:axId val="29013836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9006579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[Nido_Final Project-Excel.xlsx]Pivot Table!PivotTable2</c:name>
    <c:fmtId val="3"/>
  </c:pivotSource>
  <c:chart>
    <c:title>
      <c:tx>
        <c:rich>
          <a:bodyPr/>
          <a:lstStyle/>
          <a:p>
            <a:pPr>
              <a:defRPr>
                <a:latin typeface="Times New Roman" panose="02020603050405020304" pitchFamily="18" charset="0"/>
                <a:cs typeface="Times New Roman" panose="02020603050405020304" pitchFamily="18" charset="0"/>
              </a:defRPr>
            </a:pPr>
            <a:r>
              <a:rPr lang="en-US">
                <a:latin typeface="Times New Roman" panose="02020603050405020304" pitchFamily="18" charset="0"/>
                <a:cs typeface="Times New Roman" panose="02020603050405020304" pitchFamily="18" charset="0"/>
              </a:rPr>
              <a:t>Customer</a:t>
            </a:r>
            <a:r>
              <a:rPr lang="en-US" baseline="0">
                <a:latin typeface="Times New Roman" panose="02020603050405020304" pitchFamily="18" charset="0"/>
                <a:cs typeface="Times New Roman" panose="02020603050405020304" pitchFamily="18" charset="0"/>
              </a:rPr>
              <a:t> Commute</a:t>
            </a:r>
            <a:endParaRPr lang="en-US">
              <a:latin typeface="Times New Roman" panose="02020603050405020304" pitchFamily="18" charset="0"/>
              <a:cs typeface="Times New Roman" panose="02020603050405020304" pitchFamily="18" charset="0"/>
            </a:endParaRPr>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EAF-4BB9-9DA9-7653C92C7419}"/>
            </c:ext>
          </c:extLst>
        </c:ser>
        <c:ser>
          <c:idx val="1"/>
          <c:order val="1"/>
          <c:tx>
            <c:strRef>
              <c:f>'Pivot Table'!$C$22:$C$23</c:f>
              <c:strCache>
                <c:ptCount val="1"/>
                <c:pt idx="0">
                  <c:v>Yes</c:v>
                </c:pt>
              </c:strCache>
            </c:strRef>
          </c:tx>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EAF-4BB9-9DA9-7653C92C7419}"/>
            </c:ext>
          </c:extLst>
        </c:ser>
        <c:dLbls>
          <c:showLegendKey val="0"/>
          <c:showVal val="0"/>
          <c:showCatName val="0"/>
          <c:showSerName val="0"/>
          <c:showPercent val="0"/>
          <c:showBubbleSize val="0"/>
        </c:dLbls>
        <c:smooth val="0"/>
        <c:axId val="290502912"/>
        <c:axId val="289685888"/>
      </c:lineChart>
      <c:catAx>
        <c:axId val="290502912"/>
        <c:scaling>
          <c:orientation val="minMax"/>
        </c:scaling>
        <c:delete val="0"/>
        <c:axPos val="b"/>
        <c:title>
          <c:tx>
            <c:rich>
              <a:bodyPr/>
              <a:lstStyle/>
              <a:p>
                <a:pPr>
                  <a:defRPr>
                    <a:latin typeface="Times New Roman" panose="02020603050405020304" pitchFamily="18" charset="0"/>
                    <a:cs typeface="Times New Roman" panose="02020603050405020304" pitchFamily="18" charset="0"/>
                  </a:defRPr>
                </a:pPr>
                <a:r>
                  <a:rPr lang="en-US">
                    <a:latin typeface="Times New Roman" panose="02020603050405020304" pitchFamily="18" charset="0"/>
                    <a:cs typeface="Times New Roman" panose="02020603050405020304" pitchFamily="18" charset="0"/>
                  </a:rPr>
                  <a:t>Commute Distance</a:t>
                </a:r>
              </a:p>
            </c:rich>
          </c:tx>
          <c:overlay val="0"/>
        </c:title>
        <c:numFmt formatCode="General" sourceLinked="0"/>
        <c:majorTickMark val="out"/>
        <c:minorTickMark val="none"/>
        <c:tickLblPos val="nextTo"/>
        <c:txPr>
          <a:bodyPr/>
          <a:lstStyle/>
          <a:p>
            <a:pPr>
              <a:defRPr>
                <a:latin typeface="Times New Roman" panose="02020603050405020304" pitchFamily="18" charset="0"/>
                <a:cs typeface="Times New Roman" panose="02020603050405020304" pitchFamily="18" charset="0"/>
              </a:defRPr>
            </a:pPr>
            <a:endParaRPr lang="en-US"/>
          </a:p>
        </c:txPr>
        <c:crossAx val="289685888"/>
        <c:crosses val="autoZero"/>
        <c:auto val="1"/>
        <c:lblAlgn val="ctr"/>
        <c:lblOffset val="100"/>
        <c:noMultiLvlLbl val="0"/>
      </c:catAx>
      <c:valAx>
        <c:axId val="289685888"/>
        <c:scaling>
          <c:orientation val="minMax"/>
        </c:scaling>
        <c:delete val="0"/>
        <c:axPos val="l"/>
        <c:majorGridlines/>
        <c:numFmt formatCode="General" sourceLinked="1"/>
        <c:majorTickMark val="out"/>
        <c:minorTickMark val="none"/>
        <c:tickLblPos val="nextTo"/>
        <c:crossAx val="290502912"/>
        <c:crosses val="autoZero"/>
        <c:crossBetween val="between"/>
      </c:valAx>
    </c:plotArea>
    <c:legend>
      <c:legendPos val="r"/>
      <c:overlay val="0"/>
      <c:txPr>
        <a:bodyPr/>
        <a:lstStyle/>
        <a:p>
          <a:pPr>
            <a:defRPr>
              <a:latin typeface="Times New Roman" panose="02020603050405020304" pitchFamily="18" charset="0"/>
              <a:cs typeface="Times New Roman" panose="02020603050405020304" pitchFamily="18" charset="0"/>
            </a:defRPr>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[Nido_Final Project-Excel.xlsx]Pivot Table!PivotTable3</c:name>
    <c:fmtId val="2"/>
  </c:pivotSource>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Customer Age Bracket</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pivotFmt>
      <c:pivotFmt>
        <c:idx val="3"/>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910-4D68-89FB-915042FBD5DB}"/>
            </c:ext>
          </c:extLst>
        </c:ser>
        <c:ser>
          <c:idx val="1"/>
          <c:order val="1"/>
          <c:tx>
            <c:strRef>
              <c:f>'Pivot Table'!$C$38:$C$39</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910-4D68-89FB-915042FBD5D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87338880"/>
        <c:axId val="287341184"/>
      </c:lineChart>
      <c:catAx>
        <c:axId val="28733888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87341184"/>
        <c:crosses val="autoZero"/>
        <c:auto val="1"/>
        <c:lblAlgn val="ctr"/>
        <c:lblOffset val="100"/>
        <c:noMultiLvlLbl val="0"/>
      </c:catAx>
      <c:valAx>
        <c:axId val="287341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87338880"/>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428626</xdr:colOff>
      <xdr:row>1</xdr:row>
      <xdr:rowOff>19049</xdr:rowOff>
    </xdr:from>
    <xdr:to>
      <xdr:col>11</xdr:col>
      <xdr:colOff>409576</xdr:colOff>
      <xdr:row>15</xdr:row>
      <xdr:rowOff>38100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352425</xdr:colOff>
      <xdr:row>19</xdr:row>
      <xdr:rowOff>85725</xdr:rowOff>
    </xdr:from>
    <xdr:to>
      <xdr:col>12</xdr:col>
      <xdr:colOff>47625</xdr:colOff>
      <xdr:row>33</xdr:row>
      <xdr:rowOff>161925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400050</xdr:colOff>
      <xdr:row>37</xdr:row>
      <xdr:rowOff>85725</xdr:rowOff>
    </xdr:from>
    <xdr:to>
      <xdr:col>12</xdr:col>
      <xdr:colOff>95250</xdr:colOff>
      <xdr:row>51</xdr:row>
      <xdr:rowOff>161925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438150</xdr:colOff>
      <xdr:row>57</xdr:row>
      <xdr:rowOff>76200</xdr:rowOff>
    </xdr:from>
    <xdr:to>
      <xdr:col>12</xdr:col>
      <xdr:colOff>133350</xdr:colOff>
      <xdr:row>71</xdr:row>
      <xdr:rowOff>152400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92926</xdr:colOff>
      <xdr:row>5</xdr:row>
      <xdr:rowOff>120225</xdr:rowOff>
    </xdr:from>
    <xdr:to>
      <xdr:col>8</xdr:col>
      <xdr:colOff>476249</xdr:colOff>
      <xdr:row>19</xdr:row>
      <xdr:rowOff>81311</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81310</xdr:colOff>
      <xdr:row>19</xdr:row>
      <xdr:rowOff>149315</xdr:rowOff>
    </xdr:from>
    <xdr:to>
      <xdr:col>15</xdr:col>
      <xdr:colOff>29764</xdr:colOff>
      <xdr:row>34</xdr:row>
      <xdr:rowOff>37698</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506016</xdr:colOff>
      <xdr:row>5</xdr:row>
      <xdr:rowOff>99306</xdr:rowOff>
    </xdr:from>
    <xdr:to>
      <xdr:col>15</xdr:col>
      <xdr:colOff>19842</xdr:colOff>
      <xdr:row>19</xdr:row>
      <xdr:rowOff>88792</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73711</xdr:colOff>
      <xdr:row>5</xdr:row>
      <xdr:rowOff>93385</xdr:rowOff>
    </xdr:from>
    <xdr:to>
      <xdr:col>3</xdr:col>
      <xdr:colOff>71297</xdr:colOff>
      <xdr:row>10</xdr:row>
      <xdr:rowOff>122905</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3711" y="1035963"/>
              <a:ext cx="1813289" cy="97209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61451</xdr:colOff>
      <xdr:row>11</xdr:row>
      <xdr:rowOff>3700</xdr:rowOff>
    </xdr:from>
    <xdr:to>
      <xdr:col>3</xdr:col>
      <xdr:colOff>46703</xdr:colOff>
      <xdr:row>18</xdr:row>
      <xdr:rowOff>87473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451" y="2077372"/>
              <a:ext cx="1800955" cy="140338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48597</xdr:colOff>
      <xdr:row>18</xdr:row>
      <xdr:rowOff>126917</xdr:rowOff>
    </xdr:from>
    <xdr:to>
      <xdr:col>3</xdr:col>
      <xdr:colOff>36044</xdr:colOff>
      <xdr:row>28</xdr:row>
      <xdr:rowOff>77756</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8597" y="3520198"/>
              <a:ext cx="1803150" cy="183599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759.643842824073" createdVersion="4" refreshedVersion="4" minRefreshableVersion="3" recordCount="1000" xr:uid="{00000000-000A-0000-FFFF-FFFF20000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8:D4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22:D2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0">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58:D11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0000000-0013-0000-FFFF-FFFF01000000}" sourceName="Marital Status">
  <pivotTables>
    <pivotTable tabId="3" name="PivotTable1"/>
    <pivotTable tabId="3" name="PivotTable2"/>
    <pivotTable tabId="3" name="PivotTable3"/>
    <pivotTable tabId="3"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3" name="PivotTable1"/>
    <pivotTable tabId="3" name="PivotTable2"/>
    <pivotTable tabId="3" name="PivotTable3"/>
    <pivotTable tabId="3" name="PivotTable4"/>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000000-0013-0000-FFFF-FFFF03000000}" sourceName="Education">
  <pivotTables>
    <pivotTable tabId="3" name="PivotTable2"/>
    <pivotTable tabId="3" name="PivotTable1"/>
    <pivotTable tabId="3" name="PivotTable3"/>
    <pivotTable tabId="3" name="PivotTable4"/>
  </pivotTables>
  <data>
    <tabular pivotCacheId="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0000000-0014-0000-FFFF-FFFF01000000}" cache="Slicer_Marital_Status" caption="Marital Status" rowHeight="241300"/>
  <slicer name="Region" xr10:uid="{00000000-0014-0000-FFFF-FFFF02000000}" cache="Slicer_Region" caption="Region" rowHeight="241300"/>
  <slicer name="Education" xr10:uid="{00000000-0014-0000-FFFF-FFFF03000000}"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5546875" defaultRowHeight="15" x14ac:dyDescent="0.25"/>
  <cols>
    <col min="13" max="13" width="15.42578125" customWidth="1"/>
  </cols>
  <sheetData>
    <row r="1" spans="1:13" ht="14.45" x14ac:dyDescent="0.3">
      <c r="A1" t="s">
        <v>0</v>
      </c>
      <c r="B1" t="s">
        <v>1</v>
      </c>
      <c r="C1" t="s">
        <v>2</v>
      </c>
      <c r="D1" t="s">
        <v>3</v>
      </c>
      <c r="E1" t="s">
        <v>4</v>
      </c>
      <c r="F1" t="s">
        <v>5</v>
      </c>
      <c r="G1" t="s">
        <v>6</v>
      </c>
      <c r="H1" t="s">
        <v>7</v>
      </c>
      <c r="I1" t="s">
        <v>8</v>
      </c>
      <c r="J1" t="s">
        <v>9</v>
      </c>
      <c r="K1" t="s">
        <v>10</v>
      </c>
      <c r="L1" t="s">
        <v>11</v>
      </c>
      <c r="M1" t="s">
        <v>12</v>
      </c>
    </row>
    <row r="2" spans="1:13" ht="14.45" x14ac:dyDescent="0.3">
      <c r="A2">
        <v>12496</v>
      </c>
      <c r="B2" t="s">
        <v>34</v>
      </c>
      <c r="C2" t="s">
        <v>33</v>
      </c>
      <c r="D2" s="1">
        <v>40000</v>
      </c>
      <c r="E2">
        <v>1</v>
      </c>
      <c r="F2" t="s">
        <v>13</v>
      </c>
      <c r="G2" t="s">
        <v>14</v>
      </c>
      <c r="H2" t="s">
        <v>15</v>
      </c>
      <c r="I2">
        <v>0</v>
      </c>
      <c r="J2" t="s">
        <v>16</v>
      </c>
      <c r="K2" t="s">
        <v>17</v>
      </c>
      <c r="L2">
        <v>42</v>
      </c>
      <c r="M2" t="s">
        <v>18</v>
      </c>
    </row>
    <row r="3" spans="1:13" ht="14.45" x14ac:dyDescent="0.3">
      <c r="A3">
        <v>24107</v>
      </c>
      <c r="B3" t="s">
        <v>34</v>
      </c>
      <c r="C3" t="s">
        <v>34</v>
      </c>
      <c r="D3" s="1">
        <v>30000</v>
      </c>
      <c r="E3">
        <v>3</v>
      </c>
      <c r="F3" t="s">
        <v>19</v>
      </c>
      <c r="G3" t="s">
        <v>20</v>
      </c>
      <c r="H3" t="s">
        <v>15</v>
      </c>
      <c r="I3">
        <v>1</v>
      </c>
      <c r="J3" t="s">
        <v>16</v>
      </c>
      <c r="K3" t="s">
        <v>17</v>
      </c>
      <c r="L3">
        <v>43</v>
      </c>
      <c r="M3" t="s">
        <v>18</v>
      </c>
    </row>
    <row r="4" spans="1:13" ht="14.45" x14ac:dyDescent="0.3">
      <c r="A4">
        <v>14177</v>
      </c>
      <c r="B4" t="s">
        <v>34</v>
      </c>
      <c r="C4" t="s">
        <v>34</v>
      </c>
      <c r="D4" s="1">
        <v>80000</v>
      </c>
      <c r="E4">
        <v>5</v>
      </c>
      <c r="F4" t="s">
        <v>19</v>
      </c>
      <c r="G4" t="s">
        <v>21</v>
      </c>
      <c r="H4" t="s">
        <v>18</v>
      </c>
      <c r="I4">
        <v>2</v>
      </c>
      <c r="J4" t="s">
        <v>22</v>
      </c>
      <c r="K4" t="s">
        <v>17</v>
      </c>
      <c r="L4">
        <v>60</v>
      </c>
      <c r="M4" t="s">
        <v>18</v>
      </c>
    </row>
    <row r="5" spans="1:13" ht="14.45" x14ac:dyDescent="0.3">
      <c r="A5">
        <v>24381</v>
      </c>
      <c r="B5" t="s">
        <v>35</v>
      </c>
      <c r="C5" t="s">
        <v>34</v>
      </c>
      <c r="D5" s="1">
        <v>70000</v>
      </c>
      <c r="E5">
        <v>0</v>
      </c>
      <c r="F5" t="s">
        <v>13</v>
      </c>
      <c r="G5" t="s">
        <v>21</v>
      </c>
      <c r="H5" t="s">
        <v>15</v>
      </c>
      <c r="I5">
        <v>1</v>
      </c>
      <c r="J5" t="s">
        <v>23</v>
      </c>
      <c r="K5" t="s">
        <v>24</v>
      </c>
      <c r="L5">
        <v>41</v>
      </c>
      <c r="M5" t="s">
        <v>15</v>
      </c>
    </row>
    <row r="6" spans="1:13" ht="14.45" x14ac:dyDescent="0.3">
      <c r="A6">
        <v>25597</v>
      </c>
      <c r="B6" t="s">
        <v>35</v>
      </c>
      <c r="C6" t="s">
        <v>34</v>
      </c>
      <c r="D6" s="1">
        <v>30000</v>
      </c>
      <c r="E6">
        <v>0</v>
      </c>
      <c r="F6" t="s">
        <v>13</v>
      </c>
      <c r="G6" t="s">
        <v>20</v>
      </c>
      <c r="H6" t="s">
        <v>18</v>
      </c>
      <c r="I6">
        <v>0</v>
      </c>
      <c r="J6" t="s">
        <v>16</v>
      </c>
      <c r="K6" t="s">
        <v>17</v>
      </c>
      <c r="L6">
        <v>36</v>
      </c>
      <c r="M6" t="s">
        <v>15</v>
      </c>
    </row>
    <row r="7" spans="1:13" ht="14.45" x14ac:dyDescent="0.3">
      <c r="A7">
        <v>13507</v>
      </c>
      <c r="B7" t="s">
        <v>34</v>
      </c>
      <c r="C7" t="s">
        <v>33</v>
      </c>
      <c r="D7" s="1">
        <v>10000</v>
      </c>
      <c r="E7">
        <v>2</v>
      </c>
      <c r="F7" t="s">
        <v>19</v>
      </c>
      <c r="G7" t="s">
        <v>25</v>
      </c>
      <c r="H7" t="s">
        <v>15</v>
      </c>
      <c r="I7">
        <v>0</v>
      </c>
      <c r="J7" t="s">
        <v>26</v>
      </c>
      <c r="K7" t="s">
        <v>17</v>
      </c>
      <c r="L7">
        <v>50</v>
      </c>
      <c r="M7" t="s">
        <v>18</v>
      </c>
    </row>
    <row r="8" spans="1:13" ht="14.45" x14ac:dyDescent="0.3">
      <c r="A8">
        <v>27974</v>
      </c>
      <c r="B8" t="s">
        <v>35</v>
      </c>
      <c r="C8" t="s">
        <v>34</v>
      </c>
      <c r="D8" s="1">
        <v>160000</v>
      </c>
      <c r="E8">
        <v>2</v>
      </c>
      <c r="F8" t="s">
        <v>27</v>
      </c>
      <c r="G8" t="s">
        <v>28</v>
      </c>
      <c r="H8" t="s">
        <v>15</v>
      </c>
      <c r="I8">
        <v>4</v>
      </c>
      <c r="J8" t="s">
        <v>16</v>
      </c>
      <c r="K8" t="s">
        <v>24</v>
      </c>
      <c r="L8">
        <v>33</v>
      </c>
      <c r="M8" t="s">
        <v>15</v>
      </c>
    </row>
    <row r="9" spans="1:13" ht="14.45" x14ac:dyDescent="0.3">
      <c r="A9">
        <v>19364</v>
      </c>
      <c r="B9" t="s">
        <v>34</v>
      </c>
      <c r="C9" t="s">
        <v>34</v>
      </c>
      <c r="D9" s="1">
        <v>40000</v>
      </c>
      <c r="E9">
        <v>1</v>
      </c>
      <c r="F9" t="s">
        <v>13</v>
      </c>
      <c r="G9" t="s">
        <v>14</v>
      </c>
      <c r="H9" t="s">
        <v>15</v>
      </c>
      <c r="I9">
        <v>0</v>
      </c>
      <c r="J9" t="s">
        <v>16</v>
      </c>
      <c r="K9" t="s">
        <v>17</v>
      </c>
      <c r="L9">
        <v>43</v>
      </c>
      <c r="M9" t="s">
        <v>15</v>
      </c>
    </row>
    <row r="10" spans="1:13" ht="14.45" x14ac:dyDescent="0.3">
      <c r="A10">
        <v>22155</v>
      </c>
      <c r="B10" t="s">
        <v>34</v>
      </c>
      <c r="C10" t="s">
        <v>34</v>
      </c>
      <c r="D10" s="1">
        <v>20000</v>
      </c>
      <c r="E10">
        <v>2</v>
      </c>
      <c r="F10" t="s">
        <v>29</v>
      </c>
      <c r="G10" t="s">
        <v>20</v>
      </c>
      <c r="H10" t="s">
        <v>15</v>
      </c>
      <c r="I10">
        <v>2</v>
      </c>
      <c r="J10" t="s">
        <v>23</v>
      </c>
      <c r="K10" t="s">
        <v>24</v>
      </c>
      <c r="L10">
        <v>58</v>
      </c>
      <c r="M10" t="s">
        <v>18</v>
      </c>
    </row>
    <row r="11" spans="1:13" ht="14.45" x14ac:dyDescent="0.3">
      <c r="A11">
        <v>19280</v>
      </c>
      <c r="B11" t="s">
        <v>34</v>
      </c>
      <c r="C11" t="s">
        <v>34</v>
      </c>
      <c r="D11" s="1">
        <v>120000</v>
      </c>
      <c r="E11">
        <v>2</v>
      </c>
      <c r="F11" t="s">
        <v>19</v>
      </c>
      <c r="G11" t="s">
        <v>25</v>
      </c>
      <c r="H11" t="s">
        <v>15</v>
      </c>
      <c r="I11">
        <v>1</v>
      </c>
      <c r="J11" t="s">
        <v>16</v>
      </c>
      <c r="K11" t="s">
        <v>17</v>
      </c>
      <c r="L11">
        <v>40</v>
      </c>
      <c r="M11" t="s">
        <v>15</v>
      </c>
    </row>
    <row r="12" spans="1:13" ht="14.45" x14ac:dyDescent="0.3">
      <c r="A12">
        <v>22173</v>
      </c>
      <c r="B12" t="s">
        <v>34</v>
      </c>
      <c r="C12" t="s">
        <v>33</v>
      </c>
      <c r="D12" s="1">
        <v>30000</v>
      </c>
      <c r="E12">
        <v>3</v>
      </c>
      <c r="F12" t="s">
        <v>27</v>
      </c>
      <c r="G12" t="s">
        <v>14</v>
      </c>
      <c r="H12" t="s">
        <v>18</v>
      </c>
      <c r="I12">
        <v>2</v>
      </c>
      <c r="J12" t="s">
        <v>26</v>
      </c>
      <c r="K12" t="s">
        <v>24</v>
      </c>
      <c r="L12">
        <v>54</v>
      </c>
      <c r="M12" t="s">
        <v>15</v>
      </c>
    </row>
    <row r="13" spans="1:13" ht="14.45" x14ac:dyDescent="0.3">
      <c r="A13">
        <v>12697</v>
      </c>
      <c r="B13" t="s">
        <v>35</v>
      </c>
      <c r="C13" t="s">
        <v>33</v>
      </c>
      <c r="D13" s="1">
        <v>90000</v>
      </c>
      <c r="E13">
        <v>0</v>
      </c>
      <c r="F13" t="s">
        <v>13</v>
      </c>
      <c r="G13" t="s">
        <v>21</v>
      </c>
      <c r="H13" t="s">
        <v>18</v>
      </c>
      <c r="I13">
        <v>4</v>
      </c>
      <c r="J13" t="s">
        <v>30</v>
      </c>
      <c r="K13" t="s">
        <v>24</v>
      </c>
      <c r="L13">
        <v>36</v>
      </c>
      <c r="M13" t="s">
        <v>18</v>
      </c>
    </row>
    <row r="14" spans="1:13" ht="14.45" x14ac:dyDescent="0.3">
      <c r="A14">
        <v>11434</v>
      </c>
      <c r="B14" t="s">
        <v>34</v>
      </c>
      <c r="C14" t="s">
        <v>34</v>
      </c>
      <c r="D14" s="1">
        <v>170000</v>
      </c>
      <c r="E14">
        <v>5</v>
      </c>
      <c r="F14" t="s">
        <v>19</v>
      </c>
      <c r="G14" t="s">
        <v>21</v>
      </c>
      <c r="H14" t="s">
        <v>15</v>
      </c>
      <c r="I14">
        <v>0</v>
      </c>
      <c r="J14" t="s">
        <v>16</v>
      </c>
      <c r="K14" t="s">
        <v>17</v>
      </c>
      <c r="L14">
        <v>55</v>
      </c>
      <c r="M14" t="s">
        <v>18</v>
      </c>
    </row>
    <row r="15" spans="1:13" ht="14.45" x14ac:dyDescent="0.3">
      <c r="A15">
        <v>25323</v>
      </c>
      <c r="B15" t="s">
        <v>34</v>
      </c>
      <c r="C15" t="s">
        <v>34</v>
      </c>
      <c r="D15" s="1">
        <v>40000</v>
      </c>
      <c r="E15">
        <v>2</v>
      </c>
      <c r="F15" t="s">
        <v>19</v>
      </c>
      <c r="G15" t="s">
        <v>20</v>
      </c>
      <c r="H15" t="s">
        <v>15</v>
      </c>
      <c r="I15">
        <v>1</v>
      </c>
      <c r="J15" t="s">
        <v>26</v>
      </c>
      <c r="K15" t="s">
        <v>17</v>
      </c>
      <c r="L15">
        <v>35</v>
      </c>
      <c r="M15" t="s">
        <v>15</v>
      </c>
    </row>
    <row r="16" spans="1:13" ht="14.45" x14ac:dyDescent="0.3">
      <c r="A16">
        <v>23542</v>
      </c>
      <c r="B16" t="s">
        <v>35</v>
      </c>
      <c r="C16" t="s">
        <v>34</v>
      </c>
      <c r="D16" s="1">
        <v>60000</v>
      </c>
      <c r="E16">
        <v>1</v>
      </c>
      <c r="F16" t="s">
        <v>19</v>
      </c>
      <c r="G16" t="s">
        <v>14</v>
      </c>
      <c r="H16" t="s">
        <v>18</v>
      </c>
      <c r="I16">
        <v>1</v>
      </c>
      <c r="J16" t="s">
        <v>16</v>
      </c>
      <c r="K16" t="s">
        <v>24</v>
      </c>
      <c r="L16">
        <v>45</v>
      </c>
      <c r="M16" t="s">
        <v>15</v>
      </c>
    </row>
    <row r="17" spans="1:13" ht="14.45" x14ac:dyDescent="0.3">
      <c r="A17">
        <v>20870</v>
      </c>
      <c r="B17" t="s">
        <v>35</v>
      </c>
      <c r="C17" t="s">
        <v>33</v>
      </c>
      <c r="D17" s="1">
        <v>10000</v>
      </c>
      <c r="E17">
        <v>2</v>
      </c>
      <c r="F17" t="s">
        <v>27</v>
      </c>
      <c r="G17" t="s">
        <v>25</v>
      </c>
      <c r="H17" t="s">
        <v>15</v>
      </c>
      <c r="I17">
        <v>1</v>
      </c>
      <c r="J17" t="s">
        <v>16</v>
      </c>
      <c r="K17" t="s">
        <v>17</v>
      </c>
      <c r="L17">
        <v>38</v>
      </c>
      <c r="M17" t="s">
        <v>15</v>
      </c>
    </row>
    <row r="18" spans="1:13" ht="14.45" x14ac:dyDescent="0.3">
      <c r="A18">
        <v>23316</v>
      </c>
      <c r="B18" t="s">
        <v>35</v>
      </c>
      <c r="C18" t="s">
        <v>34</v>
      </c>
      <c r="D18" s="1">
        <v>30000</v>
      </c>
      <c r="E18">
        <v>3</v>
      </c>
      <c r="F18" t="s">
        <v>19</v>
      </c>
      <c r="G18" t="s">
        <v>20</v>
      </c>
      <c r="H18" t="s">
        <v>18</v>
      </c>
      <c r="I18">
        <v>2</v>
      </c>
      <c r="J18" t="s">
        <v>26</v>
      </c>
      <c r="K18" t="s">
        <v>24</v>
      </c>
      <c r="L18">
        <v>59</v>
      </c>
      <c r="M18" t="s">
        <v>15</v>
      </c>
    </row>
    <row r="19" spans="1:13" ht="14.45" x14ac:dyDescent="0.3">
      <c r="A19">
        <v>12610</v>
      </c>
      <c r="B19" t="s">
        <v>34</v>
      </c>
      <c r="C19" t="s">
        <v>33</v>
      </c>
      <c r="D19" s="1">
        <v>30000</v>
      </c>
      <c r="E19">
        <v>1</v>
      </c>
      <c r="F19" t="s">
        <v>13</v>
      </c>
      <c r="G19" t="s">
        <v>20</v>
      </c>
      <c r="H19" t="s">
        <v>15</v>
      </c>
      <c r="I19">
        <v>0</v>
      </c>
      <c r="J19" t="s">
        <v>16</v>
      </c>
      <c r="K19" t="s">
        <v>17</v>
      </c>
      <c r="L19">
        <v>47</v>
      </c>
      <c r="M19" t="s">
        <v>18</v>
      </c>
    </row>
    <row r="20" spans="1:13" ht="14.45" x14ac:dyDescent="0.3">
      <c r="A20">
        <v>27183</v>
      </c>
      <c r="B20" t="s">
        <v>35</v>
      </c>
      <c r="C20" t="s">
        <v>34</v>
      </c>
      <c r="D20" s="1">
        <v>40000</v>
      </c>
      <c r="E20">
        <v>2</v>
      </c>
      <c r="F20" t="s">
        <v>19</v>
      </c>
      <c r="G20" t="s">
        <v>20</v>
      </c>
      <c r="H20" t="s">
        <v>15</v>
      </c>
      <c r="I20">
        <v>1</v>
      </c>
      <c r="J20" t="s">
        <v>26</v>
      </c>
      <c r="K20" t="s">
        <v>17</v>
      </c>
      <c r="L20">
        <v>35</v>
      </c>
      <c r="M20" t="s">
        <v>15</v>
      </c>
    </row>
    <row r="21" spans="1:13" ht="14.45" x14ac:dyDescent="0.3">
      <c r="A21">
        <v>25940</v>
      </c>
      <c r="B21" t="s">
        <v>35</v>
      </c>
      <c r="C21" t="s">
        <v>34</v>
      </c>
      <c r="D21" s="1">
        <v>20000</v>
      </c>
      <c r="E21">
        <v>2</v>
      </c>
      <c r="F21" t="s">
        <v>29</v>
      </c>
      <c r="G21" t="s">
        <v>20</v>
      </c>
      <c r="H21" t="s">
        <v>15</v>
      </c>
      <c r="I21">
        <v>2</v>
      </c>
      <c r="J21" t="s">
        <v>23</v>
      </c>
      <c r="K21" t="s">
        <v>24</v>
      </c>
      <c r="L21">
        <v>55</v>
      </c>
      <c r="M21" t="s">
        <v>15</v>
      </c>
    </row>
    <row r="22" spans="1:13" ht="14.45" x14ac:dyDescent="0.3">
      <c r="A22">
        <v>25598</v>
      </c>
      <c r="B22" t="s">
        <v>34</v>
      </c>
      <c r="C22" t="s">
        <v>33</v>
      </c>
      <c r="D22" s="1">
        <v>40000</v>
      </c>
      <c r="E22">
        <v>0</v>
      </c>
      <c r="F22" t="s">
        <v>31</v>
      </c>
      <c r="G22" t="s">
        <v>20</v>
      </c>
      <c r="H22" t="s">
        <v>15</v>
      </c>
      <c r="I22">
        <v>0</v>
      </c>
      <c r="J22" t="s">
        <v>16</v>
      </c>
      <c r="K22" t="s">
        <v>17</v>
      </c>
      <c r="L22">
        <v>36</v>
      </c>
      <c r="M22" t="s">
        <v>15</v>
      </c>
    </row>
    <row r="23" spans="1:13" ht="14.45" x14ac:dyDescent="0.3">
      <c r="A23">
        <v>21564</v>
      </c>
      <c r="B23" t="s">
        <v>35</v>
      </c>
      <c r="C23" t="s">
        <v>33</v>
      </c>
      <c r="D23" s="1">
        <v>80000</v>
      </c>
      <c r="E23">
        <v>0</v>
      </c>
      <c r="F23" t="s">
        <v>13</v>
      </c>
      <c r="G23" t="s">
        <v>21</v>
      </c>
      <c r="H23" t="s">
        <v>15</v>
      </c>
      <c r="I23">
        <v>4</v>
      </c>
      <c r="J23" t="s">
        <v>30</v>
      </c>
      <c r="K23" t="s">
        <v>24</v>
      </c>
      <c r="L23">
        <v>35</v>
      </c>
      <c r="M23" t="s">
        <v>18</v>
      </c>
    </row>
    <row r="24" spans="1:13" ht="14.45" x14ac:dyDescent="0.3">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topLeftCell="F1" workbookViewId="0">
      <selection activeCell="G30" sqref="G30"/>
    </sheetView>
  </sheetViews>
  <sheetFormatPr defaultColWidth="11.85546875" defaultRowHeight="15" x14ac:dyDescent="0.25"/>
  <cols>
    <col min="1" max="1" width="23.5703125" customWidth="1"/>
    <col min="2" max="2" width="11.28515625" customWidth="1"/>
    <col min="3" max="3" width="14" customWidth="1"/>
    <col min="4" max="4" width="14.5703125" style="3" customWidth="1"/>
    <col min="5" max="5" width="12.5703125" customWidth="1"/>
    <col min="6" max="7" width="23.5703125" customWidth="1"/>
    <col min="8" max="8" width="15.5703125" customWidth="1"/>
    <col min="9" max="9" width="13.28515625" customWidth="1"/>
    <col min="10" max="14" width="23.5703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 L2 &gt;54, "Old 55+",IF(L2&gt;=31,"Middle Age 31-54",IF(L2&lt;31,"Adolescent 0-30","Invalid")))</f>
        <v>Middle Age 31-54</v>
      </c>
      <c r="N2" t="s">
        <v>18</v>
      </c>
    </row>
    <row r="3" spans="1:14" x14ac:dyDescent="0.25">
      <c r="A3">
        <v>24107</v>
      </c>
      <c r="B3" t="s">
        <v>36</v>
      </c>
      <c r="C3" t="s">
        <v>38</v>
      </c>
      <c r="D3" s="3">
        <v>30000</v>
      </c>
      <c r="E3">
        <v>3</v>
      </c>
      <c r="F3" t="s">
        <v>19</v>
      </c>
      <c r="G3" t="s">
        <v>20</v>
      </c>
      <c r="H3" t="s">
        <v>15</v>
      </c>
      <c r="I3">
        <v>1</v>
      </c>
      <c r="J3" t="s">
        <v>16</v>
      </c>
      <c r="K3" t="s">
        <v>17</v>
      </c>
      <c r="L3">
        <v>43</v>
      </c>
      <c r="M3" t="str">
        <f>IF( L3 &gt;54, "Old 55+",IF(L3&gt;=31,"Middle Age 31-54",IF(L3&lt;31,"Adolescent 0-30","Invalid")))</f>
        <v>Middle Age 31-54</v>
      </c>
      <c r="N3" t="s">
        <v>18</v>
      </c>
    </row>
    <row r="4" spans="1:14" x14ac:dyDescent="0.25">
      <c r="A4">
        <v>14177</v>
      </c>
      <c r="B4" t="s">
        <v>36</v>
      </c>
      <c r="C4" t="s">
        <v>38</v>
      </c>
      <c r="D4" s="3">
        <v>80000</v>
      </c>
      <c r="E4">
        <v>5</v>
      </c>
      <c r="F4" t="s">
        <v>19</v>
      </c>
      <c r="G4" t="s">
        <v>21</v>
      </c>
      <c r="H4" t="s">
        <v>18</v>
      </c>
      <c r="I4">
        <v>2</v>
      </c>
      <c r="J4" t="s">
        <v>22</v>
      </c>
      <c r="K4" t="s">
        <v>17</v>
      </c>
      <c r="L4">
        <v>60</v>
      </c>
      <c r="M4" t="str">
        <f t="shared" ref="M4:M67" si="0">IF( L4 &gt;54, "Old 55+",IF(L4&gt;=31,"Middle Age 31-54",IF(L4&lt;31,"Adolescent 0-30","Invalid")))</f>
        <v>Old 55+</v>
      </c>
      <c r="N4" t="s">
        <v>18</v>
      </c>
    </row>
    <row r="5" spans="1:14" x14ac:dyDescent="0.25">
      <c r="A5">
        <v>24381</v>
      </c>
      <c r="B5" t="s">
        <v>37</v>
      </c>
      <c r="C5" t="s">
        <v>38</v>
      </c>
      <c r="D5" s="3">
        <v>70000</v>
      </c>
      <c r="E5">
        <v>0</v>
      </c>
      <c r="F5" t="s">
        <v>13</v>
      </c>
      <c r="G5" t="s">
        <v>21</v>
      </c>
      <c r="H5" t="s">
        <v>15</v>
      </c>
      <c r="I5">
        <v>1</v>
      </c>
      <c r="J5" t="s">
        <v>23</v>
      </c>
      <c r="K5" t="s">
        <v>24</v>
      </c>
      <c r="L5">
        <v>41</v>
      </c>
      <c r="M5" t="str">
        <f t="shared" si="0"/>
        <v>Middle Age 31-54</v>
      </c>
      <c r="N5" t="s">
        <v>15</v>
      </c>
    </row>
    <row r="6" spans="1:14" x14ac:dyDescent="0.25">
      <c r="A6">
        <v>25597</v>
      </c>
      <c r="B6" t="s">
        <v>37</v>
      </c>
      <c r="C6" t="s">
        <v>38</v>
      </c>
      <c r="D6" s="3">
        <v>30000</v>
      </c>
      <c r="E6">
        <v>0</v>
      </c>
      <c r="F6" t="s">
        <v>13</v>
      </c>
      <c r="G6" t="s">
        <v>20</v>
      </c>
      <c r="H6" t="s">
        <v>18</v>
      </c>
      <c r="I6">
        <v>0</v>
      </c>
      <c r="J6" t="s">
        <v>16</v>
      </c>
      <c r="K6" t="s">
        <v>17</v>
      </c>
      <c r="L6">
        <v>36</v>
      </c>
      <c r="M6" t="str">
        <f t="shared" si="0"/>
        <v>Middle Age 31-54</v>
      </c>
      <c r="N6" t="s">
        <v>15</v>
      </c>
    </row>
    <row r="7" spans="1:14" x14ac:dyDescent="0.25">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25">
      <c r="A8">
        <v>27974</v>
      </c>
      <c r="B8" t="s">
        <v>37</v>
      </c>
      <c r="C8" t="s">
        <v>38</v>
      </c>
      <c r="D8" s="3">
        <v>160000</v>
      </c>
      <c r="E8">
        <v>2</v>
      </c>
      <c r="F8" t="s">
        <v>27</v>
      </c>
      <c r="G8" t="s">
        <v>28</v>
      </c>
      <c r="H8" t="s">
        <v>15</v>
      </c>
      <c r="I8">
        <v>4</v>
      </c>
      <c r="J8" t="s">
        <v>16</v>
      </c>
      <c r="K8" t="s">
        <v>24</v>
      </c>
      <c r="L8">
        <v>33</v>
      </c>
      <c r="M8" t="str">
        <f t="shared" si="0"/>
        <v>Middle Age 31-54</v>
      </c>
      <c r="N8" t="s">
        <v>15</v>
      </c>
    </row>
    <row r="9" spans="1:14" x14ac:dyDescent="0.25">
      <c r="A9">
        <v>19364</v>
      </c>
      <c r="B9" t="s">
        <v>36</v>
      </c>
      <c r="C9" t="s">
        <v>38</v>
      </c>
      <c r="D9" s="3">
        <v>40000</v>
      </c>
      <c r="E9">
        <v>1</v>
      </c>
      <c r="F9" t="s">
        <v>13</v>
      </c>
      <c r="G9" t="s">
        <v>14</v>
      </c>
      <c r="H9" t="s">
        <v>15</v>
      </c>
      <c r="I9">
        <v>0</v>
      </c>
      <c r="J9" t="s">
        <v>16</v>
      </c>
      <c r="K9" t="s">
        <v>17</v>
      </c>
      <c r="L9">
        <v>43</v>
      </c>
      <c r="M9" t="str">
        <f t="shared" si="0"/>
        <v>Middle Age 31-54</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 31-54</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 31-54</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 31-54</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 31-54</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 31-54</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 31-54</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25">
      <c r="A67">
        <v>29337</v>
      </c>
      <c r="B67" t="s">
        <v>37</v>
      </c>
      <c r="C67" t="s">
        <v>38</v>
      </c>
      <c r="D67" s="3">
        <v>30000</v>
      </c>
      <c r="E67">
        <v>2</v>
      </c>
      <c r="F67" t="s">
        <v>19</v>
      </c>
      <c r="G67" t="s">
        <v>20</v>
      </c>
      <c r="H67" t="s">
        <v>15</v>
      </c>
      <c r="I67">
        <v>2</v>
      </c>
      <c r="J67" t="s">
        <v>23</v>
      </c>
      <c r="K67" t="s">
        <v>24</v>
      </c>
      <c r="L67">
        <v>68</v>
      </c>
      <c r="M67" t="str">
        <f t="shared" si="0"/>
        <v>Old 55+</v>
      </c>
      <c r="N67" t="s">
        <v>18</v>
      </c>
    </row>
    <row r="68" spans="1:14" x14ac:dyDescent="0.25">
      <c r="A68">
        <v>29355</v>
      </c>
      <c r="B68" t="s">
        <v>36</v>
      </c>
      <c r="C68" t="s">
        <v>39</v>
      </c>
      <c r="D68" s="3">
        <v>40000</v>
      </c>
      <c r="E68">
        <v>0</v>
      </c>
      <c r="F68" t="s">
        <v>31</v>
      </c>
      <c r="G68" t="s">
        <v>20</v>
      </c>
      <c r="H68" t="s">
        <v>15</v>
      </c>
      <c r="I68">
        <v>0</v>
      </c>
      <c r="J68" t="s">
        <v>16</v>
      </c>
      <c r="K68" t="s">
        <v>17</v>
      </c>
      <c r="L68">
        <v>37</v>
      </c>
      <c r="M68" t="str">
        <f t="shared" ref="M68:M131" si="1">IF( L68 &gt;54, "Old 55+",IF(L68&gt;=31,"Middle Age 31-54",IF(L68&lt;31,"Adolescent 0-30","Invalid")))</f>
        <v>Middle Age 31-54</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 31-54</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 0-30</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 55+</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 31-54</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si="1"/>
        <v>Middle Age 31-54</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ref="M132:M195" si="2">IF( L132 &gt;54, "Old 55+",IF(L132&gt;=31,"Middle Age 31-54",IF(L132&lt;31,"Adolescent 0-30","Invalid")))</f>
        <v>Middle Age 31-54</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 31-54</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 31-54</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 55+</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 55+</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 55+</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 31-54</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 55+</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si="2"/>
        <v>Middle Age 31-54</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ref="M196:M259" si="3">IF( L196 &gt;54, "Old 55+",IF(L196&gt;=31,"Middle Age 31-54",IF(L196&lt;31,"Adolescent 0-30","Invalid")))</f>
        <v>Middle Age 31-54</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 31-54</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 31-54</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 55+</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 31-54</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 31-54</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 55+</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 55+</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 31-54</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 31-54</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 31-54</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 31-54</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 55+</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si="3"/>
        <v>Middle Age 31-54</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ref="M260:M323" si="4">IF( L260 &gt;54, "Old 55+",IF(L260&gt;=31,"Middle Age 31-54",IF(L260&lt;31,"Adolescent 0-30","Invalid")))</f>
        <v>Old 55+</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 31-54</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 31-54</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 31-54</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 31-54</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si="4"/>
        <v>Middle Age 31-54</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ref="M324:M387" si="5">IF( L324 &gt;54, "Old 55+",IF(L324&gt;=31,"Middle Age 31-54",IF(L324&lt;31,"Adolescent 0-30","Invalid")))</f>
        <v>Middle Age 31-54</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 55+</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 31-54</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 31-54</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 31-54</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 0-30</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 31-54</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 0-30</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 31-54</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si="5"/>
        <v>Middle Age 31-54</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ref="M388:M451" si="6">IF( L388 &gt;54, "Old 55+",IF(L388&gt;=31,"Middle Age 31-54",IF(L388&lt;31,"Adolescent 0-30","Invalid")))</f>
        <v>Middle Age 31-54</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 31-54</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 55+</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 31-54</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 31-54</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 31-54</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 31-54</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si="6"/>
        <v>Middle Age 31-54</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ref="M452:M515" si="7">IF( L452 &gt;54, "Old 55+",IF(L452&gt;=31,"Middle Age 31-54",IF(L452&lt;31,"Adolescent 0-30","Invalid")))</f>
        <v>Middle Age 31-54</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 31-54</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 31-54</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 31-54</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 55+</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 55+</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 55+</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si="7"/>
        <v>Old 55+</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ref="M516:M579" si="8">IF( L516 &gt;54, "Old 55+",IF(L516&gt;=31,"Middle Age 31-54",IF(L516&lt;31,"Adolescent 0-30","Invalid")))</f>
        <v>Middle Age 31-54</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 55+</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 55+</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 55+</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 55+</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 55+</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 31-54</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 55+</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 31-54</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 55+</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 55+</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 55+</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si="8"/>
        <v>Middle Age 31-54</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ref="M580:M643" si="9">IF( L580 &gt;54, "Old 55+",IF(L580&gt;=31,"Middle Age 31-54",IF(L580&lt;31,"Adolescent 0-30","Invalid")))</f>
        <v>Old 55+</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 55+</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 55+</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 31-54</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 55+</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 55+</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 31-54</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si="9"/>
        <v>Old 55+</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ref="M644:M707" si="10">IF( L644 &gt;54, "Old 55+",IF(L644&gt;=31,"Middle Age 31-54",IF(L644&lt;31,"Adolescent 0-30","Invalid")))</f>
        <v>Middle Age 31-54</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 31-54</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 31-54</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 55+</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 31-54</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 31-54</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 55+</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 55+</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 55+</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 55+</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si="10"/>
        <v>Old 55+</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ref="M708:M771" si="11">IF( L708 &gt;54, "Old 55+",IF(L708&gt;=31,"Middle Age 31-54",IF(L708&lt;31,"Adolescent 0-30","Invalid")))</f>
        <v>Middle Age 31-54</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 55+</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 55+</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 55+</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 31-54</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 55+</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 55+</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 55+</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 55+</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 31-54</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si="11"/>
        <v>Middle Age 31-54</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ref="M772:M835" si="12">IF( L772 &gt;54, "Old 55+",IF(L772&gt;=31,"Middle Age 31-54",IF(L772&lt;31,"Adolescent 0-30","Invalid")))</f>
        <v>Old 55+</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 31-54</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 55+</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 31-54</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 55+</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 31-54</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si="12"/>
        <v>Middle Age 31-54</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ref="M836:M899" si="13">IF( L836 &gt;54, "Old 55+",IF(L836&gt;=31,"Middle Age 31-54",IF(L836&lt;31,"Adolescent 0-30","Invalid")))</f>
        <v>Middle Age 31-54</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 31-54</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 55+</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 31-54</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 55+</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 55+</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 55+</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si="13"/>
        <v>Adolescent 0-30</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ref="M900:M963" si="14">IF( L900 &gt;54, "Old 55+",IF(L900&gt;=31,"Middle Age 31-54",IF(L900&lt;31,"Adolescent 0-30","Invalid")))</f>
        <v>Old 55+</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 31-54</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 55+</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 55+</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 55+</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 55+</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 31-54</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 31-54</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si="14"/>
        <v>Old 55+</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ref="M964:M1001" si="15">IF( L964 &gt;54, "Old 55+",IF(L964&gt;=31,"Middle Age 31-54",IF(L964&lt;31,"Adolescent 0-30","Invalid")))</f>
        <v>Old 55+</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 55+</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 55+</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 31-54</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 31-54</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 55+</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 55+</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 55+</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 31-54</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 31-54</v>
      </c>
      <c r="N1001" t="s">
        <v>15</v>
      </c>
    </row>
  </sheetData>
  <autoFilter ref="A1:N100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113"/>
  <sheetViews>
    <sheetView topLeftCell="A40" workbookViewId="0">
      <selection activeCell="N59" sqref="N59"/>
    </sheetView>
  </sheetViews>
  <sheetFormatPr defaultRowHeight="15" x14ac:dyDescent="0.25"/>
  <cols>
    <col min="1" max="1" width="22.85546875" customWidth="1"/>
    <col min="2" max="2" width="16.28515625" customWidth="1"/>
    <col min="3" max="3" width="4.140625" customWidth="1"/>
    <col min="4" max="4" width="11.28515625" customWidth="1"/>
  </cols>
  <sheetData>
    <row r="3" spans="1:4" x14ac:dyDescent="0.25">
      <c r="A3" s="4" t="s">
        <v>43</v>
      </c>
      <c r="B3" s="4" t="s">
        <v>44</v>
      </c>
    </row>
    <row r="4" spans="1:4" x14ac:dyDescent="0.25">
      <c r="A4" s="4" t="s">
        <v>41</v>
      </c>
      <c r="B4" t="s">
        <v>18</v>
      </c>
      <c r="C4" t="s">
        <v>15</v>
      </c>
      <c r="D4" t="s">
        <v>42</v>
      </c>
    </row>
    <row r="5" spans="1:4" x14ac:dyDescent="0.25">
      <c r="A5" s="5" t="s">
        <v>39</v>
      </c>
      <c r="B5" s="6">
        <v>53440</v>
      </c>
      <c r="C5" s="6">
        <v>55774.058577405856</v>
      </c>
      <c r="D5" s="6">
        <v>54580.777096114522</v>
      </c>
    </row>
    <row r="6" spans="1:4" x14ac:dyDescent="0.25">
      <c r="A6" s="5" t="s">
        <v>38</v>
      </c>
      <c r="B6" s="6">
        <v>56208.178438661707</v>
      </c>
      <c r="C6" s="6">
        <v>60123.966942148763</v>
      </c>
      <c r="D6" s="6">
        <v>58062.62230919765</v>
      </c>
    </row>
    <row r="7" spans="1:4" x14ac:dyDescent="0.25">
      <c r="A7" s="5" t="s">
        <v>42</v>
      </c>
      <c r="B7">
        <v>54874.759152215796</v>
      </c>
      <c r="C7">
        <v>57962.577962577961</v>
      </c>
      <c r="D7">
        <v>56360</v>
      </c>
    </row>
    <row r="22" spans="1:4" x14ac:dyDescent="0.25">
      <c r="A22" s="4" t="s">
        <v>45</v>
      </c>
      <c r="B22" s="4" t="s">
        <v>44</v>
      </c>
    </row>
    <row r="23" spans="1:4" x14ac:dyDescent="0.25">
      <c r="A23" s="4" t="s">
        <v>41</v>
      </c>
      <c r="B23" t="s">
        <v>18</v>
      </c>
      <c r="C23" t="s">
        <v>15</v>
      </c>
      <c r="D23" t="s">
        <v>42</v>
      </c>
    </row>
    <row r="24" spans="1:4" x14ac:dyDescent="0.25">
      <c r="A24" s="5" t="s">
        <v>16</v>
      </c>
      <c r="B24">
        <v>166</v>
      </c>
      <c r="C24">
        <v>200</v>
      </c>
      <c r="D24">
        <v>366</v>
      </c>
    </row>
    <row r="25" spans="1:4" x14ac:dyDescent="0.25">
      <c r="A25" s="5" t="s">
        <v>26</v>
      </c>
      <c r="B25">
        <v>92</v>
      </c>
      <c r="C25">
        <v>77</v>
      </c>
      <c r="D25">
        <v>169</v>
      </c>
    </row>
    <row r="26" spans="1:4" x14ac:dyDescent="0.25">
      <c r="A26" s="5" t="s">
        <v>22</v>
      </c>
      <c r="B26">
        <v>67</v>
      </c>
      <c r="C26">
        <v>95</v>
      </c>
      <c r="D26">
        <v>162</v>
      </c>
    </row>
    <row r="27" spans="1:4" x14ac:dyDescent="0.25">
      <c r="A27" s="5" t="s">
        <v>23</v>
      </c>
      <c r="B27">
        <v>116</v>
      </c>
      <c r="C27">
        <v>76</v>
      </c>
      <c r="D27">
        <v>192</v>
      </c>
    </row>
    <row r="28" spans="1:4" x14ac:dyDescent="0.25">
      <c r="A28" s="5" t="s">
        <v>46</v>
      </c>
      <c r="B28">
        <v>78</v>
      </c>
      <c r="C28">
        <v>33</v>
      </c>
      <c r="D28">
        <v>111</v>
      </c>
    </row>
    <row r="29" spans="1:4" x14ac:dyDescent="0.25">
      <c r="A29" s="5" t="s">
        <v>42</v>
      </c>
      <c r="B29">
        <v>519</v>
      </c>
      <c r="C29">
        <v>481</v>
      </c>
      <c r="D29">
        <v>1000</v>
      </c>
    </row>
    <row r="38" spans="1:4" x14ac:dyDescent="0.25">
      <c r="A38" s="4" t="s">
        <v>45</v>
      </c>
      <c r="B38" s="4" t="s">
        <v>44</v>
      </c>
    </row>
    <row r="39" spans="1:4" x14ac:dyDescent="0.25">
      <c r="A39" s="4" t="s">
        <v>41</v>
      </c>
      <c r="B39" t="s">
        <v>18</v>
      </c>
      <c r="C39" t="s">
        <v>15</v>
      </c>
      <c r="D39" t="s">
        <v>42</v>
      </c>
    </row>
    <row r="40" spans="1:4" x14ac:dyDescent="0.25">
      <c r="A40" s="5" t="s">
        <v>47</v>
      </c>
      <c r="B40">
        <v>71</v>
      </c>
      <c r="C40">
        <v>39</v>
      </c>
      <c r="D40">
        <v>110</v>
      </c>
    </row>
    <row r="41" spans="1:4" x14ac:dyDescent="0.25">
      <c r="A41" s="5" t="s">
        <v>48</v>
      </c>
      <c r="B41">
        <v>318</v>
      </c>
      <c r="C41">
        <v>383</v>
      </c>
      <c r="D41">
        <v>701</v>
      </c>
    </row>
    <row r="42" spans="1:4" x14ac:dyDescent="0.25">
      <c r="A42" s="5" t="s">
        <v>49</v>
      </c>
      <c r="B42">
        <v>130</v>
      </c>
      <c r="C42">
        <v>59</v>
      </c>
      <c r="D42">
        <v>189</v>
      </c>
    </row>
    <row r="43" spans="1:4" x14ac:dyDescent="0.25">
      <c r="A43" s="5" t="s">
        <v>42</v>
      </c>
      <c r="B43">
        <v>519</v>
      </c>
      <c r="C43">
        <v>481</v>
      </c>
      <c r="D43">
        <v>1000</v>
      </c>
    </row>
    <row r="58" spans="1:4" x14ac:dyDescent="0.25">
      <c r="A58" s="4" t="s">
        <v>45</v>
      </c>
      <c r="B58" s="4" t="s">
        <v>44</v>
      </c>
    </row>
    <row r="59" spans="1:4" x14ac:dyDescent="0.25">
      <c r="A59" s="4" t="s">
        <v>41</v>
      </c>
      <c r="B59" t="s">
        <v>18</v>
      </c>
      <c r="C59" t="s">
        <v>15</v>
      </c>
      <c r="D59" t="s">
        <v>42</v>
      </c>
    </row>
    <row r="60" spans="1:4" x14ac:dyDescent="0.25">
      <c r="A60" s="5">
        <v>25</v>
      </c>
      <c r="B60">
        <v>2</v>
      </c>
      <c r="C60">
        <v>4</v>
      </c>
      <c r="D60">
        <v>6</v>
      </c>
    </row>
    <row r="61" spans="1:4" x14ac:dyDescent="0.25">
      <c r="A61" s="5">
        <v>26</v>
      </c>
      <c r="B61">
        <v>8</v>
      </c>
      <c r="C61">
        <v>8</v>
      </c>
      <c r="D61">
        <v>16</v>
      </c>
    </row>
    <row r="62" spans="1:4" x14ac:dyDescent="0.25">
      <c r="A62" s="5">
        <v>27</v>
      </c>
      <c r="B62">
        <v>15</v>
      </c>
      <c r="C62">
        <v>8</v>
      </c>
      <c r="D62">
        <v>23</v>
      </c>
    </row>
    <row r="63" spans="1:4" x14ac:dyDescent="0.25">
      <c r="A63" s="5">
        <v>28</v>
      </c>
      <c r="B63">
        <v>12</v>
      </c>
      <c r="C63">
        <v>10</v>
      </c>
      <c r="D63">
        <v>22</v>
      </c>
    </row>
    <row r="64" spans="1:4" x14ac:dyDescent="0.25">
      <c r="A64" s="5">
        <v>29</v>
      </c>
      <c r="B64">
        <v>11</v>
      </c>
      <c r="C64">
        <v>5</v>
      </c>
      <c r="D64">
        <v>16</v>
      </c>
    </row>
    <row r="65" spans="1:4" x14ac:dyDescent="0.25">
      <c r="A65" s="5">
        <v>30</v>
      </c>
      <c r="B65">
        <v>23</v>
      </c>
      <c r="C65">
        <v>4</v>
      </c>
      <c r="D65">
        <v>27</v>
      </c>
    </row>
    <row r="66" spans="1:4" x14ac:dyDescent="0.25">
      <c r="A66" s="5">
        <v>31</v>
      </c>
      <c r="B66">
        <v>17</v>
      </c>
      <c r="C66">
        <v>8</v>
      </c>
      <c r="D66">
        <v>25</v>
      </c>
    </row>
    <row r="67" spans="1:4" x14ac:dyDescent="0.25">
      <c r="A67" s="5">
        <v>32</v>
      </c>
      <c r="B67">
        <v>19</v>
      </c>
      <c r="C67">
        <v>14</v>
      </c>
      <c r="D67">
        <v>33</v>
      </c>
    </row>
    <row r="68" spans="1:4" x14ac:dyDescent="0.25">
      <c r="A68" s="5">
        <v>33</v>
      </c>
      <c r="B68">
        <v>8</v>
      </c>
      <c r="C68">
        <v>13</v>
      </c>
      <c r="D68">
        <v>21</v>
      </c>
    </row>
    <row r="69" spans="1:4" x14ac:dyDescent="0.25">
      <c r="A69" s="5">
        <v>34</v>
      </c>
      <c r="B69">
        <v>12</v>
      </c>
      <c r="C69">
        <v>19</v>
      </c>
      <c r="D69">
        <v>31</v>
      </c>
    </row>
    <row r="70" spans="1:4" x14ac:dyDescent="0.25">
      <c r="A70" s="5">
        <v>35</v>
      </c>
      <c r="B70">
        <v>14</v>
      </c>
      <c r="C70">
        <v>22</v>
      </c>
      <c r="D70">
        <v>36</v>
      </c>
    </row>
    <row r="71" spans="1:4" x14ac:dyDescent="0.25">
      <c r="A71" s="5">
        <v>36</v>
      </c>
      <c r="B71">
        <v>7</v>
      </c>
      <c r="C71">
        <v>30</v>
      </c>
      <c r="D71">
        <v>37</v>
      </c>
    </row>
    <row r="72" spans="1:4" x14ac:dyDescent="0.25">
      <c r="A72" s="5">
        <v>37</v>
      </c>
      <c r="B72">
        <v>4</v>
      </c>
      <c r="C72">
        <v>28</v>
      </c>
      <c r="D72">
        <v>32</v>
      </c>
    </row>
    <row r="73" spans="1:4" x14ac:dyDescent="0.25">
      <c r="A73" s="5">
        <v>38</v>
      </c>
      <c r="B73">
        <v>8</v>
      </c>
      <c r="C73">
        <v>29</v>
      </c>
      <c r="D73">
        <v>37</v>
      </c>
    </row>
    <row r="74" spans="1:4" x14ac:dyDescent="0.25">
      <c r="A74" s="5">
        <v>39</v>
      </c>
      <c r="B74">
        <v>10</v>
      </c>
      <c r="C74">
        <v>12</v>
      </c>
      <c r="D74">
        <v>22</v>
      </c>
    </row>
    <row r="75" spans="1:4" x14ac:dyDescent="0.25">
      <c r="A75" s="5">
        <v>40</v>
      </c>
      <c r="B75">
        <v>24</v>
      </c>
      <c r="C75">
        <v>18</v>
      </c>
      <c r="D75">
        <v>42</v>
      </c>
    </row>
    <row r="76" spans="1:4" x14ac:dyDescent="0.25">
      <c r="A76" s="5">
        <v>41</v>
      </c>
      <c r="B76">
        <v>13</v>
      </c>
      <c r="C76">
        <v>15</v>
      </c>
      <c r="D76">
        <v>28</v>
      </c>
    </row>
    <row r="77" spans="1:4" x14ac:dyDescent="0.25">
      <c r="A77" s="5">
        <v>42</v>
      </c>
      <c r="B77">
        <v>22</v>
      </c>
      <c r="C77">
        <v>12</v>
      </c>
      <c r="D77">
        <v>34</v>
      </c>
    </row>
    <row r="78" spans="1:4" x14ac:dyDescent="0.25">
      <c r="A78" s="5">
        <v>43</v>
      </c>
      <c r="B78">
        <v>17</v>
      </c>
      <c r="C78">
        <v>19</v>
      </c>
      <c r="D78">
        <v>36</v>
      </c>
    </row>
    <row r="79" spans="1:4" x14ac:dyDescent="0.25">
      <c r="A79" s="5">
        <v>44</v>
      </c>
      <c r="B79">
        <v>15</v>
      </c>
      <c r="C79">
        <v>12</v>
      </c>
      <c r="D79">
        <v>27</v>
      </c>
    </row>
    <row r="80" spans="1:4" x14ac:dyDescent="0.25">
      <c r="A80" s="5">
        <v>45</v>
      </c>
      <c r="B80">
        <v>18</v>
      </c>
      <c r="C80">
        <v>13</v>
      </c>
      <c r="D80">
        <v>31</v>
      </c>
    </row>
    <row r="81" spans="1:4" x14ac:dyDescent="0.25">
      <c r="A81" s="5">
        <v>46</v>
      </c>
      <c r="B81">
        <v>12</v>
      </c>
      <c r="C81">
        <v>15</v>
      </c>
      <c r="D81">
        <v>27</v>
      </c>
    </row>
    <row r="82" spans="1:4" x14ac:dyDescent="0.25">
      <c r="A82" s="5">
        <v>47</v>
      </c>
      <c r="B82">
        <v>19</v>
      </c>
      <c r="C82">
        <v>20</v>
      </c>
      <c r="D82">
        <v>39</v>
      </c>
    </row>
    <row r="83" spans="1:4" x14ac:dyDescent="0.25">
      <c r="A83" s="5">
        <v>48</v>
      </c>
      <c r="B83">
        <v>16</v>
      </c>
      <c r="C83">
        <v>13</v>
      </c>
      <c r="D83">
        <v>29</v>
      </c>
    </row>
    <row r="84" spans="1:4" x14ac:dyDescent="0.25">
      <c r="A84" s="5">
        <v>49</v>
      </c>
      <c r="B84">
        <v>15</v>
      </c>
      <c r="C84">
        <v>8</v>
      </c>
      <c r="D84">
        <v>23</v>
      </c>
    </row>
    <row r="85" spans="1:4" x14ac:dyDescent="0.25">
      <c r="A85" s="5">
        <v>50</v>
      </c>
      <c r="B85">
        <v>12</v>
      </c>
      <c r="C85">
        <v>12</v>
      </c>
      <c r="D85">
        <v>24</v>
      </c>
    </row>
    <row r="86" spans="1:4" x14ac:dyDescent="0.25">
      <c r="A86" s="5">
        <v>51</v>
      </c>
      <c r="B86">
        <v>10</v>
      </c>
      <c r="C86">
        <v>12</v>
      </c>
      <c r="D86">
        <v>22</v>
      </c>
    </row>
    <row r="87" spans="1:4" x14ac:dyDescent="0.25">
      <c r="A87" s="5">
        <v>52</v>
      </c>
      <c r="B87">
        <v>10</v>
      </c>
      <c r="C87">
        <v>15</v>
      </c>
      <c r="D87">
        <v>25</v>
      </c>
    </row>
    <row r="88" spans="1:4" x14ac:dyDescent="0.25">
      <c r="A88" s="5">
        <v>53</v>
      </c>
      <c r="B88">
        <v>11</v>
      </c>
      <c r="C88">
        <v>13</v>
      </c>
      <c r="D88">
        <v>24</v>
      </c>
    </row>
    <row r="89" spans="1:4" x14ac:dyDescent="0.25">
      <c r="A89" s="5">
        <v>54</v>
      </c>
      <c r="B89">
        <v>5</v>
      </c>
      <c r="C89">
        <v>11</v>
      </c>
      <c r="D89">
        <v>16</v>
      </c>
    </row>
    <row r="90" spans="1:4" x14ac:dyDescent="0.25">
      <c r="A90" s="5">
        <v>55</v>
      </c>
      <c r="B90">
        <v>13</v>
      </c>
      <c r="C90">
        <v>5</v>
      </c>
      <c r="D90">
        <v>18</v>
      </c>
    </row>
    <row r="91" spans="1:4" x14ac:dyDescent="0.25">
      <c r="A91" s="5">
        <v>56</v>
      </c>
      <c r="B91">
        <v>13</v>
      </c>
      <c r="C91">
        <v>3</v>
      </c>
      <c r="D91">
        <v>16</v>
      </c>
    </row>
    <row r="92" spans="1:4" x14ac:dyDescent="0.25">
      <c r="A92" s="5">
        <v>57</v>
      </c>
      <c r="B92">
        <v>4</v>
      </c>
      <c r="C92">
        <v>4</v>
      </c>
      <c r="D92">
        <v>8</v>
      </c>
    </row>
    <row r="93" spans="1:4" x14ac:dyDescent="0.25">
      <c r="A93" s="5">
        <v>58</v>
      </c>
      <c r="B93">
        <v>8</v>
      </c>
      <c r="C93">
        <v>4</v>
      </c>
      <c r="D93">
        <v>12</v>
      </c>
    </row>
    <row r="94" spans="1:4" x14ac:dyDescent="0.25">
      <c r="A94" s="5">
        <v>59</v>
      </c>
      <c r="B94">
        <v>14</v>
      </c>
      <c r="C94">
        <v>6</v>
      </c>
      <c r="D94">
        <v>20</v>
      </c>
    </row>
    <row r="95" spans="1:4" x14ac:dyDescent="0.25">
      <c r="A95" s="5">
        <v>60</v>
      </c>
      <c r="B95">
        <v>8</v>
      </c>
      <c r="C95">
        <v>7</v>
      </c>
      <c r="D95">
        <v>15</v>
      </c>
    </row>
    <row r="96" spans="1:4" x14ac:dyDescent="0.25">
      <c r="A96" s="5">
        <v>61</v>
      </c>
      <c r="B96">
        <v>5</v>
      </c>
      <c r="C96">
        <v>4</v>
      </c>
      <c r="D96">
        <v>9</v>
      </c>
    </row>
    <row r="97" spans="1:4" x14ac:dyDescent="0.25">
      <c r="A97" s="5">
        <v>62</v>
      </c>
      <c r="B97">
        <v>9</v>
      </c>
      <c r="C97">
        <v>4</v>
      </c>
      <c r="D97">
        <v>13</v>
      </c>
    </row>
    <row r="98" spans="1:4" x14ac:dyDescent="0.25">
      <c r="A98" s="5">
        <v>63</v>
      </c>
      <c r="B98">
        <v>7</v>
      </c>
      <c r="C98">
        <v>2</v>
      </c>
      <c r="D98">
        <v>9</v>
      </c>
    </row>
    <row r="99" spans="1:4" x14ac:dyDescent="0.25">
      <c r="A99" s="5">
        <v>64</v>
      </c>
      <c r="B99">
        <v>7</v>
      </c>
      <c r="C99">
        <v>3</v>
      </c>
      <c r="D99">
        <v>10</v>
      </c>
    </row>
    <row r="100" spans="1:4" x14ac:dyDescent="0.25">
      <c r="A100" s="5">
        <v>65</v>
      </c>
      <c r="B100">
        <v>6</v>
      </c>
      <c r="C100">
        <v>3</v>
      </c>
      <c r="D100">
        <v>9</v>
      </c>
    </row>
    <row r="101" spans="1:4" x14ac:dyDescent="0.25">
      <c r="A101" s="5">
        <v>66</v>
      </c>
      <c r="B101">
        <v>8</v>
      </c>
      <c r="C101">
        <v>6</v>
      </c>
      <c r="D101">
        <v>14</v>
      </c>
    </row>
    <row r="102" spans="1:4" x14ac:dyDescent="0.25">
      <c r="A102" s="5">
        <v>67</v>
      </c>
      <c r="B102">
        <v>8</v>
      </c>
      <c r="C102">
        <v>2</v>
      </c>
      <c r="D102">
        <v>10</v>
      </c>
    </row>
    <row r="103" spans="1:4" x14ac:dyDescent="0.25">
      <c r="A103" s="5">
        <v>68</v>
      </c>
      <c r="B103">
        <v>3</v>
      </c>
      <c r="D103">
        <v>3</v>
      </c>
    </row>
    <row r="104" spans="1:4" x14ac:dyDescent="0.25">
      <c r="A104" s="5">
        <v>69</v>
      </c>
      <c r="B104">
        <v>8</v>
      </c>
      <c r="D104">
        <v>8</v>
      </c>
    </row>
    <row r="105" spans="1:4" x14ac:dyDescent="0.25">
      <c r="A105" s="5">
        <v>70</v>
      </c>
      <c r="B105">
        <v>3</v>
      </c>
      <c r="C105">
        <v>1</v>
      </c>
      <c r="D105">
        <v>4</v>
      </c>
    </row>
    <row r="106" spans="1:4" x14ac:dyDescent="0.25">
      <c r="A106" s="5">
        <v>71</v>
      </c>
      <c r="B106">
        <v>1</v>
      </c>
      <c r="D106">
        <v>1</v>
      </c>
    </row>
    <row r="107" spans="1:4" x14ac:dyDescent="0.25">
      <c r="A107" s="5">
        <v>72</v>
      </c>
      <c r="C107">
        <v>1</v>
      </c>
      <c r="D107">
        <v>1</v>
      </c>
    </row>
    <row r="108" spans="1:4" x14ac:dyDescent="0.25">
      <c r="A108" s="5">
        <v>73</v>
      </c>
      <c r="B108">
        <v>2</v>
      </c>
      <c r="C108">
        <v>2</v>
      </c>
      <c r="D108">
        <v>4</v>
      </c>
    </row>
    <row r="109" spans="1:4" x14ac:dyDescent="0.25">
      <c r="A109" s="5">
        <v>74</v>
      </c>
      <c r="C109">
        <v>1</v>
      </c>
      <c r="D109">
        <v>1</v>
      </c>
    </row>
    <row r="110" spans="1:4" x14ac:dyDescent="0.25">
      <c r="A110" s="5">
        <v>78</v>
      </c>
      <c r="B110">
        <v>1</v>
      </c>
      <c r="C110">
        <v>1</v>
      </c>
      <c r="D110">
        <v>2</v>
      </c>
    </row>
    <row r="111" spans="1:4" x14ac:dyDescent="0.25">
      <c r="A111" s="5">
        <v>80</v>
      </c>
      <c r="B111">
        <v>1</v>
      </c>
      <c r="D111">
        <v>1</v>
      </c>
    </row>
    <row r="112" spans="1:4" x14ac:dyDescent="0.25">
      <c r="A112" s="5">
        <v>89</v>
      </c>
      <c r="B112">
        <v>1</v>
      </c>
      <c r="D112">
        <v>1</v>
      </c>
    </row>
    <row r="113" spans="1:4" x14ac:dyDescent="0.25">
      <c r="A113" s="5" t="s">
        <v>42</v>
      </c>
      <c r="B113">
        <v>519</v>
      </c>
      <c r="C113">
        <v>481</v>
      </c>
      <c r="D11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
  <sheetViews>
    <sheetView showGridLines="0" tabSelected="1" topLeftCell="A15" zoomScale="96" zoomScaleNormal="96" workbookViewId="0">
      <selection sqref="A1:O5"/>
    </sheetView>
  </sheetViews>
  <sheetFormatPr defaultRowHeight="15" x14ac:dyDescent="0.25"/>
  <sheetData>
    <row r="1" spans="1:15" ht="15" customHeight="1" x14ac:dyDescent="0.25">
      <c r="A1" s="7" t="s">
        <v>50</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sheetData>
  <mergeCells count="1">
    <mergeCell ref="A1:O5"/>
  </mergeCells>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Leslie Nido</cp:lastModifiedBy>
  <dcterms:created xsi:type="dcterms:W3CDTF">2022-03-18T02:50:57Z</dcterms:created>
  <dcterms:modified xsi:type="dcterms:W3CDTF">2025-05-02T11:10:54Z</dcterms:modified>
</cp:coreProperties>
</file>