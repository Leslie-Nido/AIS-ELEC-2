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SLIE ANN D. NIDO\Downloads\"/>
    </mc:Choice>
  </mc:AlternateContent>
  <xr:revisionPtr revIDLastSave="0" documentId="13_ncr:1_{9357A88E-B87F-4F65-B5AD-8748F7E16763}" xr6:coauthVersionLast="47" xr6:coauthVersionMax="47" xr10:uidLastSave="{00000000-0000-0000-0000-000000000000}"/>
  <bookViews>
    <workbookView xWindow="-120" yWindow="-120" windowWidth="20730" windowHeight="11040" activeTab="10" xr2:uid="{00000000-000D-0000-FFFF-FFFF00000000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H12" i="1" l="1"/>
  <c r="H11" i="1"/>
  <c r="J10" i="8"/>
  <c r="J9" i="8"/>
  <c r="J8" i="8"/>
  <c r="J7" i="8"/>
  <c r="J6" i="8"/>
  <c r="J5" i="8"/>
  <c r="J4" i="8"/>
  <c r="J3" i="8"/>
  <c r="J2" i="8"/>
  <c r="K3" i="9"/>
  <c r="J3" i="9"/>
  <c r="K2" i="9"/>
  <c r="J2" i="9"/>
</calcChain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<sst xmlns="http://schemas.openxmlformats.org/spreadsheetml/2006/main" count="583" uniqueCount="88">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</sst>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K10"/>
  <sheetViews>
    <sheetView workbookViewId="0">
      <selection activeCell="K4" sqref="K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K10"/>
  <sheetViews>
    <sheetView workbookViewId="0">
      <selection activeCell="K2" sqref="K2:K10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 &gt; 30, "Old","Young")</f>
        <v>Young</v>
      </c>
      <c r="K2" t="str">
        <f>IF(F2:F10="Salesman","Sales",IF(F2:F10="HR","Fire Immediately",IF(F2:F10="Accountant","Give Christmas Bonus")))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 &gt; 30, "Old","Young")</f>
        <v>Young</v>
      </c>
      <c r="K3" t="b">
        <f t="shared" ref="K3:K10" si="1">IF(F3:F11="Salesman","Sales",IF(F3:F11="HR","Fire Immediately",IF(F3:F11="Accountant","Give Christmas Bonus")))</f>
        <v>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str">
        <f t="shared" si="1"/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str">
        <f t="shared" si="1"/>
        <v>Give Christmas Bonus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str">
        <f t="shared" si="1"/>
        <v>Fire 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b">
        <f t="shared" si="1"/>
        <v>0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b">
        <f t="shared" si="1"/>
        <v>0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str">
        <f t="shared" si="1"/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str">
        <f t="shared" si="1"/>
        <v>Give Christmas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L10"/>
  <sheetViews>
    <sheetView workbookViewId="0">
      <selection activeCell="J2" sqref="J2:J10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LEN(B2)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LEN(B3)</f>
        <v>3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4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7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8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7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M10"/>
  <sheetViews>
    <sheetView topLeftCell="B1" workbookViewId="0">
      <selection activeCell="H5" sqref="H5"/>
    </sheetView>
  </sheetViews>
  <sheetFormatPr defaultColWidth="14.5703125" defaultRowHeight="15" x14ac:dyDescent="0.25"/>
  <cols>
    <col min="4" max="4" width="8" customWidth="1"/>
    <col min="10" max="10" width="32.28515625" bestFit="1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LEFT(B2:B10, 3)</f>
        <v>Jim</v>
      </c>
      <c r="L2" t="str">
        <f>RIGHT(A2:A10, 3)</f>
        <v>001</v>
      </c>
      <c r="M2" t="str">
        <f>RIGHT(H2:H10, 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LEFT(B3:B11, 3)</f>
        <v>Pam</v>
      </c>
      <c r="L3" t="str">
        <f t="shared" ref="L3:L10" si="1">RIGHT(A3:A11, 3)</f>
        <v>002</v>
      </c>
      <c r="M3" t="str">
        <f t="shared" ref="M3:M10" si="2">RIGHT(H3:H11, 4)</f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Dwi</v>
      </c>
      <c r="L4" t="str">
        <f t="shared" si="1"/>
        <v>003</v>
      </c>
      <c r="M4" t="str">
        <f t="shared" si="2"/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Ang</v>
      </c>
      <c r="L5" t="str">
        <f t="shared" si="1"/>
        <v>004</v>
      </c>
      <c r="M5" t="str">
        <f t="shared" si="2"/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Tob</v>
      </c>
      <c r="L6" t="str">
        <f t="shared" si="1"/>
        <v>005</v>
      </c>
      <c r="M6" t="str">
        <f t="shared" si="2"/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Mic</v>
      </c>
      <c r="L7" t="str">
        <f t="shared" si="1"/>
        <v>006</v>
      </c>
      <c r="M7" t="str">
        <f t="shared" si="2"/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Mer</v>
      </c>
      <c r="L8" t="str">
        <f t="shared" si="1"/>
        <v>007</v>
      </c>
      <c r="M8" t="str">
        <f t="shared" si="2"/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Sta</v>
      </c>
      <c r="L9" t="str">
        <f t="shared" si="1"/>
        <v>008</v>
      </c>
      <c r="M9" t="str">
        <f t="shared" si="2"/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Kev</v>
      </c>
      <c r="L10" t="str">
        <f t="shared" si="1"/>
        <v>009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K13"/>
  <sheetViews>
    <sheetView workbookViewId="0">
      <selection activeCell="J2" sqref="J2:J10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TEXT(H2,"dd/mm/yyyy")</f>
        <v>02/11/2001</v>
      </c>
      <c r="K2" s="2"/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TEXT(H3,"dd/mm/yyyy")</f>
        <v>03/10/1999</v>
      </c>
      <c r="K3" s="2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</row>
    <row r="12" spans="1:11" x14ac:dyDescent="0.25">
      <c r="H12" s="1"/>
    </row>
    <row r="13" spans="1:11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K10"/>
  <sheetViews>
    <sheetView workbookViewId="0">
      <selection activeCell="J2" sqref="J2:J10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J12"/>
  <sheetViews>
    <sheetView workbookViewId="0">
      <selection activeCell="J2" sqref="J2:J10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</cols>
  <sheetData>
    <row r="1" spans="1:10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</row>
    <row r="3" spans="1:10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</row>
    <row r="4" spans="1:10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0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0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0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0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0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0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0" x14ac:dyDescent="0.25">
      <c r="H11" t="str">
        <f>CONCATENATE(B11," ",C11)</f>
        <v xml:space="preserve"> </v>
      </c>
    </row>
    <row r="12" spans="1:10" x14ac:dyDescent="0.25">
      <c r="H12" t="str">
        <f>CONCATENATE(B12," ",C12)</f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L20"/>
  <sheetViews>
    <sheetView workbookViewId="0">
      <selection activeCell="I18" sqref="I18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0" max="10" width="19.5703125" customWidth="1"/>
    <col min="11" max="11" width="20.570312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SUBSTITUTE(H2:H10, "/", "-", 1)</f>
        <v>11-2/2001</v>
      </c>
      <c r="K2" t="str">
        <f>SUBSTITUTE(H2:H10, "/", "-", 2)</f>
        <v>11/2-2001</v>
      </c>
      <c r="L2" t="str">
        <f>SUBSTITUTE(H2:H10, "-", "/")</f>
        <v>11/2/2001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SUBSTITUTE(H3:H11, "/", "-", 1)</f>
        <v>10-3/1999</v>
      </c>
      <c r="K3" t="str">
        <f t="shared" ref="K3:K10" si="1">SUBSTITUTE(H3:H11, "/", "-", 2)</f>
        <v>10/3-1999</v>
      </c>
      <c r="L3" t="str">
        <f t="shared" ref="L3:L10" si="2">SUBSTITUTE(H3:H11, "-", "/")</f>
        <v>10/3/1999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7/4/2000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f t="shared" si="0"/>
        <v>1-5/2000</v>
      </c>
      <c r="K5" t="str">
        <f t="shared" si="1"/>
        <v>1/5-2000</v>
      </c>
      <c r="L5" t="str">
        <f t="shared" si="2"/>
        <v>1/5/2000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5/6/2001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5/6/2001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11/8/2003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6/9/2002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8/10/2003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L10"/>
  <sheetViews>
    <sheetView topLeftCell="A2" workbookViewId="0">
      <selection activeCell="G23" sqref="G22:G23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L10"/>
  <sheetViews>
    <sheetView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 "&gt;45000")</f>
        <v>5</v>
      </c>
      <c r="L2">
        <f>COUNTIFS(A2:A10,"&gt;1005", E2:E10, "Male")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K10"/>
  <sheetViews>
    <sheetView tabSelected="1" workbookViewId="0">
      <selection activeCell="J14" sqref="J14"/>
    </sheetView>
  </sheetViews>
  <sheetFormatPr defaultColWidth="11.140625" defaultRowHeight="15" x14ac:dyDescent="0.25"/>
  <cols>
    <col min="1" max="10" width="11.140625" style="3"/>
    <col min="11" max="11" width="17.85546875" style="3" customWidth="1"/>
    <col min="12" max="16384" width="11.140625" style="3"/>
  </cols>
  <sheetData>
    <row r="1" spans="1:11" x14ac:dyDescent="0.25">
      <c r="A1" s="3" t="s">
        <v>20</v>
      </c>
      <c r="B1" s="3" t="s">
        <v>0</v>
      </c>
      <c r="C1" s="3" t="s">
        <v>1</v>
      </c>
      <c r="D1" s="3" t="s">
        <v>23</v>
      </c>
      <c r="E1" s="3" t="s">
        <v>24</v>
      </c>
      <c r="F1" s="3" t="s">
        <v>21</v>
      </c>
      <c r="G1" s="3" t="s">
        <v>22</v>
      </c>
      <c r="H1" s="3" t="s">
        <v>36</v>
      </c>
      <c r="I1" s="3" t="s">
        <v>37</v>
      </c>
      <c r="J1" s="3" t="s">
        <v>84</v>
      </c>
      <c r="K1" s="3" t="s">
        <v>85</v>
      </c>
    </row>
    <row r="2" spans="1:11" x14ac:dyDescent="0.25">
      <c r="A2" s="3">
        <v>1001</v>
      </c>
      <c r="B2" s="3" t="s">
        <v>2</v>
      </c>
      <c r="C2" s="3" t="s">
        <v>3</v>
      </c>
      <c r="D2" s="3">
        <v>30</v>
      </c>
      <c r="E2" s="3" t="s">
        <v>26</v>
      </c>
      <c r="F2" s="3" t="s">
        <v>25</v>
      </c>
      <c r="G2" s="3">
        <v>45000</v>
      </c>
      <c r="H2" s="4" t="s">
        <v>48</v>
      </c>
      <c r="I2" s="4" t="s">
        <v>56</v>
      </c>
      <c r="J2" s="4">
        <f>I2-H2</f>
        <v>5231</v>
      </c>
      <c r="K2" s="3">
        <f>NETWORKDAYS(H2,I2,)</f>
        <v>3737</v>
      </c>
    </row>
    <row r="3" spans="1:11" x14ac:dyDescent="0.25">
      <c r="A3" s="3">
        <v>1002</v>
      </c>
      <c r="B3" s="3" t="s">
        <v>4</v>
      </c>
      <c r="C3" s="3" t="s">
        <v>5</v>
      </c>
      <c r="D3" s="3">
        <v>30</v>
      </c>
      <c r="E3" s="3" t="s">
        <v>28</v>
      </c>
      <c r="F3" s="3" t="s">
        <v>27</v>
      </c>
      <c r="G3" s="3">
        <v>36000</v>
      </c>
      <c r="H3" s="4" t="s">
        <v>49</v>
      </c>
      <c r="I3" s="4" t="s">
        <v>57</v>
      </c>
      <c r="J3" s="4">
        <f t="shared" ref="J3:J10" si="0">I3-H3</f>
        <v>6058</v>
      </c>
      <c r="K3" s="3">
        <f t="shared" ref="K3:K10" si="1">NETWORKDAYS(H3,I3,)</f>
        <v>4328</v>
      </c>
    </row>
    <row r="4" spans="1:11" x14ac:dyDescent="0.25">
      <c r="A4" s="3">
        <v>1003</v>
      </c>
      <c r="B4" s="3" t="s">
        <v>6</v>
      </c>
      <c r="C4" s="3" t="s">
        <v>7</v>
      </c>
      <c r="D4" s="3">
        <v>29</v>
      </c>
      <c r="E4" s="3" t="s">
        <v>26</v>
      </c>
      <c r="F4" s="3" t="s">
        <v>25</v>
      </c>
      <c r="G4" s="3">
        <v>63000</v>
      </c>
      <c r="H4" s="4" t="s">
        <v>50</v>
      </c>
      <c r="I4" s="4" t="s">
        <v>58</v>
      </c>
      <c r="J4" s="4">
        <f t="shared" si="0"/>
        <v>6333</v>
      </c>
      <c r="K4" s="3">
        <f t="shared" si="1"/>
        <v>4524</v>
      </c>
    </row>
    <row r="5" spans="1:11" x14ac:dyDescent="0.25">
      <c r="A5" s="3">
        <v>1004</v>
      </c>
      <c r="B5" s="3" t="s">
        <v>13</v>
      </c>
      <c r="C5" s="3" t="s">
        <v>12</v>
      </c>
      <c r="D5" s="3">
        <v>31</v>
      </c>
      <c r="E5" s="3" t="s">
        <v>28</v>
      </c>
      <c r="F5" s="3" t="s">
        <v>29</v>
      </c>
      <c r="G5" s="3">
        <v>47000</v>
      </c>
      <c r="H5" s="4" t="s">
        <v>51</v>
      </c>
      <c r="I5" s="4" t="s">
        <v>59</v>
      </c>
      <c r="J5" s="4">
        <f t="shared" si="0"/>
        <v>5428</v>
      </c>
      <c r="K5" s="3">
        <f t="shared" si="1"/>
        <v>3879</v>
      </c>
    </row>
    <row r="6" spans="1:11" x14ac:dyDescent="0.25">
      <c r="A6" s="3">
        <v>1005</v>
      </c>
      <c r="B6" s="3" t="s">
        <v>14</v>
      </c>
      <c r="C6" s="3" t="s">
        <v>15</v>
      </c>
      <c r="D6" s="3">
        <v>32</v>
      </c>
      <c r="E6" s="3" t="s">
        <v>26</v>
      </c>
      <c r="F6" s="3" t="s">
        <v>30</v>
      </c>
      <c r="G6" s="3">
        <v>50000</v>
      </c>
      <c r="H6" s="4" t="s">
        <v>52</v>
      </c>
      <c r="I6" s="4" t="s">
        <v>60</v>
      </c>
      <c r="J6" s="4" t="e">
        <f t="shared" si="0"/>
        <v>#VALUE!</v>
      </c>
      <c r="K6" s="3" t="e">
        <f t="shared" si="1"/>
        <v>#VALUE!</v>
      </c>
    </row>
    <row r="7" spans="1:11" x14ac:dyDescent="0.25">
      <c r="A7" s="3">
        <v>1006</v>
      </c>
      <c r="B7" s="3" t="s">
        <v>8</v>
      </c>
      <c r="C7" s="3" t="s">
        <v>9</v>
      </c>
      <c r="D7" s="3">
        <v>35</v>
      </c>
      <c r="E7" s="3" t="s">
        <v>26</v>
      </c>
      <c r="F7" s="3" t="s">
        <v>31</v>
      </c>
      <c r="G7" s="3">
        <v>65000</v>
      </c>
      <c r="H7" s="4" t="s">
        <v>52</v>
      </c>
      <c r="I7" s="4" t="s">
        <v>61</v>
      </c>
      <c r="J7" s="4">
        <f t="shared" si="0"/>
        <v>4540</v>
      </c>
      <c r="K7" s="3">
        <f t="shared" si="1"/>
        <v>3244</v>
      </c>
    </row>
    <row r="8" spans="1:11" x14ac:dyDescent="0.25">
      <c r="A8" s="3">
        <v>1007</v>
      </c>
      <c r="B8" s="3" t="s">
        <v>33</v>
      </c>
      <c r="C8" s="3" t="s">
        <v>34</v>
      </c>
      <c r="D8" s="3">
        <v>32</v>
      </c>
      <c r="E8" s="3" t="s">
        <v>28</v>
      </c>
      <c r="F8" s="3" t="s">
        <v>32</v>
      </c>
      <c r="G8" s="3">
        <v>41000</v>
      </c>
      <c r="H8" s="4" t="s">
        <v>53</v>
      </c>
      <c r="I8" s="4" t="s">
        <v>61</v>
      </c>
      <c r="J8" s="4">
        <f t="shared" si="0"/>
        <v>3743</v>
      </c>
      <c r="K8" s="3">
        <f t="shared" si="1"/>
        <v>2675</v>
      </c>
    </row>
    <row r="9" spans="1:11" x14ac:dyDescent="0.25">
      <c r="A9" s="3">
        <v>1008</v>
      </c>
      <c r="B9" s="3" t="s">
        <v>16</v>
      </c>
      <c r="C9" s="3" t="s">
        <v>17</v>
      </c>
      <c r="D9" s="3">
        <v>38</v>
      </c>
      <c r="E9" s="3" t="s">
        <v>26</v>
      </c>
      <c r="F9" s="3" t="s">
        <v>25</v>
      </c>
      <c r="G9" s="3">
        <v>48000</v>
      </c>
      <c r="H9" s="4" t="s">
        <v>54</v>
      </c>
      <c r="I9" s="4" t="s">
        <v>62</v>
      </c>
      <c r="J9" s="4" t="e">
        <f t="shared" si="0"/>
        <v>#VALUE!</v>
      </c>
      <c r="K9" s="3" t="e">
        <f t="shared" si="1"/>
        <v>#VALUE!</v>
      </c>
    </row>
    <row r="10" spans="1:11" x14ac:dyDescent="0.25">
      <c r="A10" s="3">
        <v>1009</v>
      </c>
      <c r="B10" s="3" t="s">
        <v>10</v>
      </c>
      <c r="C10" s="3" t="s">
        <v>11</v>
      </c>
      <c r="D10" s="3">
        <v>31</v>
      </c>
      <c r="E10" s="3" t="s">
        <v>26</v>
      </c>
      <c r="F10" s="3" t="s">
        <v>29</v>
      </c>
      <c r="G10" s="3">
        <v>42000</v>
      </c>
      <c r="H10" s="4" t="s">
        <v>55</v>
      </c>
      <c r="I10" s="4" t="s">
        <v>62</v>
      </c>
      <c r="J10" s="4" t="e">
        <f t="shared" si="0"/>
        <v>#VALUE!</v>
      </c>
      <c r="K10" s="3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Leslie Nido</cp:lastModifiedBy>
  <dcterms:created xsi:type="dcterms:W3CDTF">2021-12-16T14:18:34Z</dcterms:created>
  <dcterms:modified xsi:type="dcterms:W3CDTF">2025-05-02T11:21:12Z</dcterms:modified>
</cp:coreProperties>
</file>